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9dea4cef5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c41cdea578b54a41"/>
    <x:sheet xmlns:r="http://schemas.openxmlformats.org/officeDocument/2006/relationships" name="species" sheetId="2" r:id="R73bd6f9f25284215"/>
    <x:sheet xmlns:r="http://schemas.openxmlformats.org/officeDocument/2006/relationships" name="composition" sheetId="3" r:id="R6b1d3479c0a1431d"/>
    <x:sheet xmlns:r="http://schemas.openxmlformats.org/officeDocument/2006/relationships" name="materials" sheetId="4" r:id="Re726b5119c434c96"/>
    <x:sheet xmlns:r="http://schemas.openxmlformats.org/officeDocument/2006/relationships" name="material_composition" sheetId="5" r:id="R36b1ed95525c4e07"/>
    <x:sheet xmlns:r="http://schemas.openxmlformats.org/officeDocument/2006/relationships" name="README" sheetId="6" r:id="R6c766258890d405f"/>
    <x:sheet xmlns:r="http://schemas.openxmlformats.org/officeDocument/2006/relationships" name="references" sheetId="7" r:id="Rcaeaa704eae641ed"/>
    <x:sheet xmlns:r="http://schemas.openxmlformats.org/officeDocument/2006/relationships" name="constant_sources" sheetId="8" r:id="R5e0c3d4a9b304b08"/>
    <x:sheet xmlns:r="http://schemas.openxmlformats.org/officeDocument/2006/relationships" name="test_cases" sheetId="9" r:id="R62fb8bdd4c76436a"/>
    <x:sheet xmlns:r="http://schemas.openxmlformats.org/officeDocument/2006/relationships" name="test_inputs" sheetId="10" r:id="Rdd808ae4396f44b7"/>
    <x:sheet xmlns:r="http://schemas.openxmlformats.org/officeDocument/2006/relationships" name="material_species" sheetId="11" r:id="Rb12db4faf69c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"/>
    <x:numFmt numFmtId="201" formatCode="0"/>
    <x:numFmt numFmtId="202" formatCode="0.000000"/>
    <x:numFmt numFmtId="203" formatCode="0.000"/>
    <x:numFmt numFmtId="204" formatCode="0.0E+00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6"/>
      <x:color rgb="FFFFFFFF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a11110b614bc5" /><Relationship Type="http://schemas.openxmlformats.org/officeDocument/2006/relationships/theme" Target="/xl/theme/theme1.xml" Id="R6cab3dec4619497f" /><Relationship Type="http://schemas.microsoft.com/office/2022/11/relationships/FeaturePropertyBag" Target="/xl/featurePropertyBag/featurePropertyBag.xml" Id="R594d0af0b8564605" /><Relationship Type="http://schemas.openxmlformats.org/officeDocument/2006/relationships/sharedStrings" Target="/xl/sharedStrings.xml" Id="R060449928e544350" /><Relationship Type="http://schemas.openxmlformats.org/officeDocument/2006/relationships/worksheet" Target="/xl/worksheets/sheet1.xml" Id="Rc41cdea578b54a41" /><Relationship Type="http://schemas.openxmlformats.org/officeDocument/2006/relationships/worksheet" Target="/xl/worksheets/sheet2.xml" Id="R73bd6f9f25284215" /><Relationship Type="http://schemas.openxmlformats.org/officeDocument/2006/relationships/worksheet" Target="/xl/worksheets/sheet3.xml" Id="R6b1d3479c0a1431d" /><Relationship Type="http://schemas.openxmlformats.org/officeDocument/2006/relationships/worksheet" Target="/xl/worksheets/sheet4.xml" Id="Re726b5119c434c96" /><Relationship Type="http://schemas.openxmlformats.org/officeDocument/2006/relationships/worksheet" Target="/xl/worksheets/sheet5.xml" Id="R36b1ed95525c4e07" /><Relationship Type="http://schemas.openxmlformats.org/officeDocument/2006/relationships/worksheet" Target="/xl/worksheets/sheet6.xml" Id="R6c766258890d405f" /><Relationship Type="http://schemas.openxmlformats.org/officeDocument/2006/relationships/worksheet" Target="/xl/worksheets/sheet7.xml" Id="Rcaeaa704eae641ed" /><Relationship Type="http://schemas.openxmlformats.org/officeDocument/2006/relationships/worksheet" Target="/xl/worksheets/sheet8.xml" Id="R5e0c3d4a9b304b08" /><Relationship Type="http://schemas.openxmlformats.org/officeDocument/2006/relationships/worksheet" Target="/xl/worksheets/sheet9.xml" Id="R62fb8bdd4c76436a" /><Relationship Type="http://schemas.openxmlformats.org/officeDocument/2006/relationships/worksheet" Target="/xl/worksheets/sheet10.xml" Id="Rdd808ae4396f44b7" /><Relationship Type="http://schemas.openxmlformats.org/officeDocument/2006/relationships/worksheet" Target="/xl/worksheets/sheet11.xml" Id="Rb12db4faf69c4b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onentsTable" displayName="ComponentsTable" ref="A1:G13" headerRowCount="1" totalsRowCount="0" totalsRowShown="0">
  <x:autoFilter ref="A1:G13"/>
  <x:tableColumns count="7">
    <x:tableColumn id="1" name="component_id"/>
    <x:tableColumn id="2" name="species_id"/>
    <x:tableColumn id="3" name="formula"/>
    <x:tableColumn id="4" name="name"/>
    <x:tableColumn id="5" name="charge"/>
    <x:tableColumn id="6" name="balance_mode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esTable" displayName="SpeciesTable" ref="A1:I26" headerRowCount="1" totalsRowCount="0" totalsRowShown="0">
  <x:autoFilter ref="A1:I26"/>
  <x:tableColumns count="9">
    <x:tableColumn id="1" name="species_id"/>
    <x:tableColumn id="2" name="formula"/>
    <x:tableColumn id="3" name="name"/>
    <x:tableColumn id="4" name="charge"/>
    <x:tableColumn id="5" name="log_beta"/>
    <x:tableColumn id="6" name="constant_convention"/>
    <x:tableColumn id="7" name="source_equilibrium"/>
    <x:tableColumn id="8" name="source_logk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ositionTable" displayName="CompositionTable" ref="A1:C38" headerRowCount="1" totalsRowCount="0" totalsRowShown="0">
  <x:autoFilter ref="A1:C38"/>
  <x:tableColumns count="3">
    <x:tableColumn id="1" name="species_id"/>
    <x:tableColumn id="2" name="component_id"/>
    <x:tableColumn id="3" name="coeffici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sTable" displayName="MaterialsTable" ref="A1:E23" headerRowCount="1" totalsRowCount="0" totalsRowShown="0">
  <x:autoFilter ref="A1:E23"/>
  <x:tableColumns count="5">
    <x:tableColumn id="1" name="material_id"/>
    <x:tableColumn id="2" name="formula"/>
    <x:tableColumn id="3" name="name"/>
    <x:tableColumn id="4" name="input_model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CompositionTable" displayName="MaterialCompositionTable" ref="A1:C34" headerRowCount="1" totalsRowCount="0" totalsRowShown="0">
  <x:autoFilter ref="A1:C34"/>
  <x:tableColumns count="3">
    <x:tableColumn id="1" name="material_id"/>
    <x:tableColumn id="2" name="component_id"/>
    <x:tableColumn id="3" name="coeffici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sTable" displayName="ReferencesTable" ref="A1:H4" headerRowCount="1" totalsRowCount="0" totalsRowShown="0">
  <x:tableColumns count="8">
    <x:tableColumn id="1" name="reference_id"/>
    <x:tableColumn id="2" name="title"/>
    <x:tableColumn id="3" name="organization"/>
    <x:tableColumn id="4" name="url"/>
    <x:tableColumn id="5" name="version_or_date"/>
    <x:tableColumn id="6" name="temperature_c"/>
    <x:tableColumn id="7" name="ionic_strength_mol_l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stantSourcesTable" displayName="ConstantSourcesTable" ref="A1:I26" headerRowCount="1" totalsRowCount="0" totalsRowShown="0">
  <x:tableColumns count="9">
    <x:tableColumn id="1" name="species_id"/>
    <x:tableColumn id="2" name="reference_id"/>
    <x:tableColumn id="3" name="source_location"/>
    <x:tableColumn id="4" name="source_reaction"/>
    <x:tableColumn id="5" name="source_log_k"/>
    <x:tableColumn id="6" name="effective_log_beta"/>
    <x:tableColumn id="7" name="curation_status"/>
    <x:tableColumn id="8" name="priority_group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stCasesTable" displayName="TestCasesTable" ref="A1:L19" headerRowCount="1" totalsRowCount="0" totalsRowShown="0">
  <x:tableColumns count="12">
    <x:tableColumn id="1" name="test_id"/>
    <x:tableColumn id="2" name="priority"/>
    <x:tableColumn id="3" name="execution_mode"/>
    <x:tableColumn id="4" name="category"/>
    <x:tableColumn id="5" name="name"/>
    <x:tableColumn id="6" name="purpose"/>
    <x:tableColumn id="7" name="expected_metric"/>
    <x:tableColumn id="8" name="expected_value"/>
    <x:tableColumn id="9" name="absolute_tolerance"/>
    <x:tableColumn id="10" name="expected_basis"/>
    <x:tableColumn id="11" name="activ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InputsTable" displayName="TestInputsTable" ref="A1:F28" headerRowCount="1" totalsRowCount="0" totalsRowShown="0">
  <x:tableColumns count="6">
    <x:tableColumn id="1" name="test_id"/>
    <x:tableColumn id="2" name="input_order"/>
    <x:tableColumn id="3" name="material_id"/>
    <x:tableColumn id="4" name="analytical_concentration_mol_l"/>
    <x:tableColumn id="5" name="role"/>
    <x:tableColumn id="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terialSpeciesTable" displayName="MaterialSpeciesTable" ref="A1:C43" headerRowCount="1" totalsRowCount="0" totalsRowShown="0">
  <x:tableColumns count="3">
    <x:tableColumn id="1" name="material_id"/>
    <x:tableColumn id="2" name="species_id"/>
    <x:tableColumn id="3" name="coeffici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381149b6c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571c9c1aab41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176d30ae91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38161eb296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35ea2f3641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2ec569b8d4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5b4c0a36f643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68154419d4b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7e9b0ef7ab4f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7f09e195da0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4" hidden="0" customWidth="1"/>
    <x:col min="5" max="5" width="10" hidden="0" customWidth="1"/>
    <x:col min="6" max="6" width="20" hidden="0" customWidth="1"/>
    <x:col min="7" max="7" width="68" hidden="0" customWidth="1"/>
  </x:cols>
  <x:sheetData>
    <x:row r="1" ht="15" hidden="0" customHeight="1">
      <x:c r="A1" s="25" t="str">
        <x:v>component_id</x:v>
      </x:c>
      <x:c r="B1" s="25" t="str">
        <x:v>species_id</x:v>
      </x:c>
      <x:c r="C1" s="25" t="str">
        <x:v>formula</x:v>
      </x:c>
      <x:c r="D1" s="25" t="str">
        <x:v>name</x:v>
      </x:c>
      <x:c r="E1" s="25" t="str">
        <x:v>charge</x:v>
      </x:c>
      <x:c r="F1" s="25" t="str">
        <x:v>balance_mode</x:v>
      </x:c>
      <x:c r="G1" s="25" t="str">
        <x:v>notes</x:v>
      </x:c>
    </x:row>
    <x:row r="2" ht="15" hidden="0" customHeight="1">
      <x:c r="A2" s="26" t="str">
        <x:v>001</x:v>
      </x:c>
      <x:c r="B2" s="27" t="str">
        <x:v>S001</x:v>
      </x:c>
      <x:c r="C2" s="27" t="str">
        <x:v>H+</x:v>
      </x:c>
      <x:c r="D2" s="27" t="str">
        <x:v>Próton</x:v>
      </x:c>
      <x:c r="E2" s="28" t="n">
        <x:v>1</x:v>
      </x:c>
      <x:c r="F2" s="27" t="str">
        <x:v>electroneutrality</x:v>
      </x:c>
      <x:c r="G2" s="27" t="str">
        <x:v>Componente ácido-base; sem balanço analítico de H.</x:v>
      </x:c>
    </x:row>
    <x:row r="3" ht="15" hidden="0" customHeight="1">
      <x:c r="A3" s="26" t="str">
        <x:v>002</x:v>
      </x:c>
      <x:c r="B3" s="27" t="str">
        <x:v>S003</x:v>
      </x:c>
      <x:c r="C3" s="27" t="str">
        <x:v>F-</x:v>
      </x:c>
      <x:c r="D3" s="27" t="str">
        <x:v>Fluoreto</x:v>
      </x:c>
      <x:c r="E3" s="28" t="n">
        <x:v>-1</x:v>
      </x:c>
      <x:c r="F3" s="27" t="str">
        <x:v>mass_balance</x:v>
      </x:c>
      <x:c r="G3" s="27" t="str">
        <x:v>Componente conservado da família do fluoreto.</x:v>
      </x:c>
    </x:row>
    <x:row r="4" ht="15" hidden="0" customHeight="1">
      <x:c r="A4" s="26" t="str">
        <x:v>003</x:v>
      </x:c>
      <x:c r="B4" s="27" t="str">
        <x:v>S005</x:v>
      </x:c>
      <x:c r="C4" s="27" t="str">
        <x:v>Cl-</x:v>
      </x:c>
      <x:c r="D4" s="27" t="str">
        <x:v>Cloreto</x:v>
      </x:c>
      <x:c r="E4" s="28" t="n">
        <x:v>-1</x:v>
      </x:c>
      <x:c r="F4" s="27" t="str">
        <x:v>mass_balance</x:v>
      </x:c>
      <x:c r="G4" s="27" t="str">
        <x:v>Componente conservado do cloreto.</x:v>
      </x:c>
    </x:row>
    <x:row r="5" ht="15" hidden="0" customHeight="1">
      <x:c r="A5" s="26" t="str">
        <x:v>004</x:v>
      </x:c>
      <x:c r="B5" s="27" t="str">
        <x:v>S006</x:v>
      </x:c>
      <x:c r="C5" s="27" t="str">
        <x:v>NH3</x:v>
      </x:c>
      <x:c r="D5" s="27" t="str">
        <x:v>Amônia</x:v>
      </x:c>
      <x:c r="E5" s="28" t="n">
        <x:v>0</x:v>
      </x:c>
      <x:c r="F5" s="27" t="str">
        <x:v>mass_balance</x:v>
      </x:c>
      <x:c r="G5" s="27" t="str">
        <x:v>Componente conservado da família NHx.</x:v>
      </x:c>
    </x:row>
    <x:row r="6" ht="15" hidden="0" customHeight="1">
      <x:c r="A6" s="26" t="str">
        <x:v>005</x:v>
      </x:c>
      <x:c r="B6" s="27" t="str">
        <x:v>S008</x:v>
      </x:c>
      <x:c r="C6" s="27" t="str">
        <x:v>NO3-</x:v>
      </x:c>
      <x:c r="D6" s="27" t="str">
        <x:v>Nitrato</x:v>
      </x:c>
      <x:c r="E6" s="28" t="n">
        <x:v>-1</x:v>
      </x:c>
      <x:c r="F6" s="27" t="str">
        <x:v>mass_balance</x:v>
      </x:c>
      <x:c r="G6" s="27" t="str">
        <x:v>Componente conservado do nitrato.</x:v>
      </x:c>
    </x:row>
    <x:row r="7" ht="15" hidden="0" customHeight="1">
      <x:c r="A7" s="26" t="str">
        <x:v>006</x:v>
      </x:c>
      <x:c r="B7" s="27" t="str">
        <x:v>S009</x:v>
      </x:c>
      <x:c r="C7" s="27" t="str">
        <x:v>Na+</x:v>
      </x:c>
      <x:c r="D7" s="27" t="str">
        <x:v>Sódio</x:v>
      </x:c>
      <x:c r="E7" s="28" t="n">
        <x:v>1</x:v>
      </x:c>
      <x:c r="F7" s="27" t="str">
        <x:v>mass_balance</x:v>
      </x:c>
      <x:c r="G7" s="27" t="str">
        <x:v>Componente conservado do sódio.</x:v>
      </x:c>
    </x:row>
    <x:row r="8" ht="15" hidden="0" customHeight="1">
      <x:c r="A8" s="26" t="str">
        <x:v>007</x:v>
      </x:c>
      <x:c r="B8" s="27" t="str">
        <x:v>S010</x:v>
      </x:c>
      <x:c r="C8" s="27" t="str">
        <x:v>SO4-2</x:v>
      </x:c>
      <x:c r="D8" s="27" t="str">
        <x:v>Sulfato</x:v>
      </x:c>
      <x:c r="E8" s="28" t="n">
        <x:v>-2</x:v>
      </x:c>
      <x:c r="F8" s="27" t="str">
        <x:v>mass_balance</x:v>
      </x:c>
      <x:c r="G8" s="27" t="str">
        <x:v>Componente conservado da família sulfato.</x:v>
      </x:c>
    </x:row>
    <x:row r="9" ht="15" hidden="0" customHeight="1">
      <x:c r="A9" s="26" t="str">
        <x:v>008</x:v>
      </x:c>
      <x:c r="B9" s="27" t="str">
        <x:v>S012</x:v>
      </x:c>
      <x:c r="C9" s="27" t="str">
        <x:v>CH3COO-</x:v>
      </x:c>
      <x:c r="D9" s="27" t="str">
        <x:v>Acetato</x:v>
      </x:c>
      <x:c r="E9" s="28" t="n">
        <x:v>-1</x:v>
      </x:c>
      <x:c r="F9" s="27" t="str">
        <x:v>mass_balance</x:v>
      </x:c>
      <x:c r="G9" s="27" t="str">
        <x:v>Componente conservado da família acetato.</x:v>
      </x:c>
    </x:row>
    <x:row r="10" ht="15" hidden="0" customHeight="1">
      <x:c r="A10" s="26" t="str">
        <x:v>009</x:v>
      </x:c>
      <x:c r="B10" s="27" t="str">
        <x:v>S014</x:v>
      </x:c>
      <x:c r="C10" s="27" t="str">
        <x:v>Cit-3</x:v>
      </x:c>
      <x:c r="D10" s="27" t="str">
        <x:v>Citrato</x:v>
      </x:c>
      <x:c r="E10" s="28" t="n">
        <x:v>-3</x:v>
      </x:c>
      <x:c r="F10" s="27" t="str">
        <x:v>mass_balance</x:v>
      </x:c>
      <x:c r="G10" s="27" t="str">
        <x:v>Componente conservado da família citrato.</x:v>
      </x:c>
    </x:row>
    <x:row r="11">
      <x:c r="A11" s="30" t="str">
        <x:v>010</x:v>
      </x:c>
      <x:c r="B11" s="17" t="str">
        <x:v>S018</x:v>
      </x:c>
      <x:c r="C11" s="17" t="str">
        <x:v>CO3-2</x:v>
      </x:c>
      <x:c r="D11" s="17" t="str">
        <x:v>Carbonato</x:v>
      </x:c>
      <x:c r="E11" s="24" t="n">
        <x:v>-2</x:v>
      </x:c>
      <x:c r="F11" s="17" t="str">
        <x:v>mass_balance</x:v>
      </x:c>
      <x:c r="G11" s="17" t="str">
        <x:v>Componente conservado da família carbonato; sistema fechado sem troca gasosa.</x:v>
      </x:c>
    </x:row>
    <x:row r="12">
      <x:c r="A12" s="30" t="str">
        <x:v>011</x:v>
      </x:c>
      <x:c r="B12" s="17" t="str">
        <x:v>S021</x:v>
      </x:c>
      <x:c r="C12" s="17" t="str">
        <x:v>PO4-3</x:v>
      </x:c>
      <x:c r="D12" s="17" t="str">
        <x:v>Fosfato</x:v>
      </x:c>
      <x:c r="E12" s="24" t="n">
        <x:v>-3</x:v>
      </x:c>
      <x:c r="F12" s="17" t="str">
        <x:v>mass_balance</x:v>
      </x:c>
      <x:c r="G12" s="17" t="str">
        <x:v>Componente conservado da família fosfato.</x:v>
      </x:c>
    </x:row>
    <x:row r="13">
      <x:c r="A13" s="33" t="str">
        <x:v>012</x:v>
      </x:c>
      <x:c r="B13" t="str">
        <x:v>S025</x:v>
      </x:c>
      <x:c r="C13" t="str">
        <x:v>Br-</x:v>
      </x:c>
      <x:c r="D13" t="str">
        <x:v>Brometo</x:v>
      </x:c>
      <x:c r="E13" t="n">
        <x:v>-1</x:v>
      </x:c>
      <x:c r="F13" t="str">
        <x:v>mass_balance</x:v>
      </x:c>
      <x:c r="G13" t="str">
        <x:v>Componente conservado do brometo.</x:v>
      </x:c>
    </x:row>
  </x:sheetData>
  <x:pageMargins left="0.7" right="0.7" top="0.75" bottom="0.75" header="0.3" footer="0.3"/>
  <x:tableParts count="1">
    <x:tablePart xmlns:r="http://schemas.openxmlformats.org/officeDocument/2006/relationships" r:id="Rcf1381149b6c49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0" hidden="0" customWidth="1"/>
    <x:col min="5" max="5" width="14" hidden="0" customWidth="1"/>
    <x:col min="6" max="6" width="22" hidden="0" customWidth="1"/>
    <x:col min="7" max="7" width="38" hidden="0" customWidth="1"/>
    <x:col min="8" max="8" width="16" hidden="0" customWidth="1"/>
    <x:col min="9" max="9" width="68" hidden="0" customWidth="1"/>
  </x:cols>
  <x:sheetData>
    <x:row r="1" ht="15" hidden="0" customHeight="1">
      <x:c r="A1" s="25" t="str">
        <x:v>species_id</x:v>
      </x:c>
      <x:c r="B1" s="25" t="str">
        <x:v>formula</x:v>
      </x:c>
      <x:c r="C1" s="25" t="str">
        <x:v>name</x:v>
      </x:c>
      <x:c r="D1" s="25" t="str">
        <x:v>charge</x:v>
      </x:c>
      <x:c r="E1" s="25" t="str">
        <x:v>log_beta</x:v>
      </x:c>
      <x:c r="F1" s="25" t="str">
        <x:v>constant_convention</x:v>
      </x:c>
      <x:c r="G1" s="25" t="str">
        <x:v>source_equilibrium</x:v>
      </x:c>
      <x:c r="H1" s="25" t="str">
        <x:v>source_logk</x:v>
      </x:c>
      <x:c r="I1" s="25" t="str">
        <x:v>notes</x:v>
      </x:c>
    </x:row>
    <x:row r="2" ht="15" hidden="0" customHeight="1">
      <x:c r="A2" s="27" t="str">
        <x:v>S001</x:v>
      </x:c>
      <x:c r="B2" s="27" t="str">
        <x:v>H+</x:v>
      </x:c>
      <x:c r="C2" s="27" t="str">
        <x:v>Próton</x:v>
      </x:c>
      <x:c r="D2" s="28" t="n">
        <x:v>1</x:v>
      </x:c>
      <x:c r="E2" s="29" t="n">
        <x:v>0</x:v>
      </x:c>
      <x:c r="F2" s="27" t="str">
        <x:v>log10(beta)</x:v>
      </x:c>
      <x:c r="G2" s="27" t="str">
        <x:v>component</x:v>
      </x:c>
      <x:c r="H2" s="29"/>
      <x:c r="I2" s="27" t="str">
        <x:v>Espécie do componente 001.</x:v>
      </x:c>
    </x:row>
    <x:row r="3" ht="15" hidden="0" customHeight="1">
      <x:c r="A3" s="27" t="str">
        <x:v>S002</x:v>
      </x:c>
      <x:c r="B3" s="27" t="str">
        <x:v>OH-</x:v>
      </x:c>
      <x:c r="C3" s="27" t="str">
        <x:v>Hidróxido</x:v>
      </x:c>
      <x:c r="D3" s="28" t="n">
        <x:v>-1</x:v>
      </x:c>
      <x:c r="E3" s="29" t="n">
        <x:v>-14</x:v>
      </x:c>
      <x:c r="F3" s="27" t="str">
        <x:v>log10(beta)</x:v>
      </x:c>
      <x:c r="G3" s="27" t="str">
        <x:v>KW</x:v>
      </x:c>
      <x:c r="H3" s="29" t="n">
        <x:v>-14</x:v>
      </x:c>
      <x:c r="I3" s="27" t="str">
        <x:v>[OH-] = 10^-14/[H+]; atividade da água = 1.</x:v>
      </x:c>
    </x:row>
    <x:row r="4" ht="15" hidden="0" customHeight="1">
      <x:c r="A4" s="27" t="str">
        <x:v>S003</x:v>
      </x:c>
      <x:c r="B4" s="27" t="str">
        <x:v>F-</x:v>
      </x:c>
      <x:c r="C4" s="27" t="str">
        <x:v>Fluoreto</x:v>
      </x:c>
      <x:c r="D4" s="28" t="n">
        <x:v>-1</x:v>
      </x:c>
      <x:c r="E4" s="29" t="n">
        <x:v>0</x:v>
      </x:c>
      <x:c r="F4" s="27" t="str">
        <x:v>log10(beta)</x:v>
      </x:c>
      <x:c r="G4" s="27" t="str">
        <x:v>component</x:v>
      </x:c>
      <x:c r="H4" s="29"/>
      <x:c r="I4" s="27" t="str">
        <x:v>Espécie do componente 002.</x:v>
      </x:c>
    </x:row>
    <x:row r="5" ht="15" hidden="0" customHeight="1">
      <x:c r="A5" s="27" t="str">
        <x:v>S004</x:v>
      </x:c>
      <x:c r="B5" s="27" t="str">
        <x:v>HF</x:v>
      </x:c>
      <x:c r="C5" s="27" t="str">
        <x:v>Ácido fluorídrico</x:v>
      </x:c>
      <x:c r="D5" s="28" t="n">
        <x:v>0</x:v>
      </x:c>
      <x:c r="E5" s="29" t="n">
        <x:v>3.167491</x:v>
      </x:c>
      <x:c r="F5" s="27" t="str">
        <x:v>log10(beta)</x:v>
      </x:c>
      <x:c r="G5" s="27" t="str">
        <x:v>HF</x:v>
      </x:c>
      <x:c r="H5" s="29" t="n">
        <x:v>-3.167491</x:v>
      </x:c>
      <x:c r="I5" s="27" t="str">
        <x:v>logβ = -logKa.</x:v>
      </x:c>
    </x:row>
    <x:row r="6" ht="15" hidden="0" customHeight="1">
      <x:c r="A6" s="27" t="str">
        <x:v>S005</x:v>
      </x:c>
      <x:c r="B6" s="27" t="str">
        <x:v>Cl-</x:v>
      </x:c>
      <x:c r="C6" s="27" t="str">
        <x:v>Cloreto</x:v>
      </x:c>
      <x:c r="D6" s="28" t="n">
        <x:v>-1</x:v>
      </x:c>
      <x:c r="E6" s="29" t="n">
        <x:v>0</x:v>
      </x:c>
      <x:c r="F6" s="27" t="str">
        <x:v>log10(beta)</x:v>
      </x:c>
      <x:c r="G6" s="27" t="str">
        <x:v>component</x:v>
      </x:c>
      <x:c r="H6" s="29"/>
      <x:c r="I6" s="27" t="str">
        <x:v>Espécie do componente 003.</x:v>
      </x:c>
    </x:row>
    <x:row r="7" ht="15" hidden="0" customHeight="1">
      <x:c r="A7" s="27" t="str">
        <x:v>S006</x:v>
      </x:c>
      <x:c r="B7" s="27" t="str">
        <x:v>NH3</x:v>
      </x:c>
      <x:c r="C7" s="27" t="str">
        <x:v>Amônia</x:v>
      </x:c>
      <x:c r="D7" s="28" t="n">
        <x:v>0</x:v>
      </x:c>
      <x:c r="E7" s="29" t="n">
        <x:v>0</x:v>
      </x:c>
      <x:c r="F7" s="27" t="str">
        <x:v>log10(beta)</x:v>
      </x:c>
      <x:c r="G7" s="27" t="str">
        <x:v>component</x:v>
      </x:c>
      <x:c r="H7" s="29"/>
      <x:c r="I7" s="27" t="str">
        <x:v>Espécie do componente 004.</x:v>
      </x:c>
    </x:row>
    <x:row r="8" ht="15" hidden="0" customHeight="1">
      <x:c r="A8" s="27" t="str">
        <x:v>S007</x:v>
      </x:c>
      <x:c r="B8" s="27" t="str">
        <x:v>NH4+</x:v>
      </x:c>
      <x:c r="C8" s="27" t="str">
        <x:v>Amônio</x:v>
      </x:c>
      <x:c r="D8" s="28" t="n">
        <x:v>1</x:v>
      </x:c>
      <x:c r="E8" s="29" t="n">
        <x:v>9.236572</x:v>
      </x:c>
      <x:c r="F8" s="27" t="str">
        <x:v>log10(beta)</x:v>
      </x:c>
      <x:c r="G8" s="27" t="str">
        <x:v>NH4</x:v>
      </x:c>
      <x:c r="H8" s="29" t="n">
        <x:v>-9.236572</x:v>
      </x:c>
      <x:c r="I8" s="27" t="str">
        <x:v>logβ = -logKa.</x:v>
      </x:c>
    </x:row>
    <x:row r="9" ht="15" hidden="0" customHeight="1">
      <x:c r="A9" s="27" t="str">
        <x:v>S008</x:v>
      </x:c>
      <x:c r="B9" s="27" t="str">
        <x:v>NO3-</x:v>
      </x:c>
      <x:c r="C9" s="27" t="str">
        <x:v>Nitrato</x:v>
      </x:c>
      <x:c r="D9" s="28" t="n">
        <x:v>-1</x:v>
      </x:c>
      <x:c r="E9" s="29" t="n">
        <x:v>0</x:v>
      </x:c>
      <x:c r="F9" s="27" t="str">
        <x:v>log10(beta)</x:v>
      </x:c>
      <x:c r="G9" s="27" t="str">
        <x:v>component</x:v>
      </x:c>
      <x:c r="H9" s="29"/>
      <x:c r="I9" s="27" t="str">
        <x:v>Espécie do componente 005.</x:v>
      </x:c>
    </x:row>
    <x:row r="10" ht="15" hidden="0" customHeight="1">
      <x:c r="A10" s="27" t="str">
        <x:v>S009</x:v>
      </x:c>
      <x:c r="B10" s="27" t="str">
        <x:v>Na+</x:v>
      </x:c>
      <x:c r="C10" s="27" t="str">
        <x:v>Sódio</x:v>
      </x:c>
      <x:c r="D10" s="28" t="n">
        <x:v>1</x:v>
      </x:c>
      <x:c r="E10" s="29" t="n">
        <x:v>0</x:v>
      </x:c>
      <x:c r="F10" s="27" t="str">
        <x:v>log10(beta)</x:v>
      </x:c>
      <x:c r="G10" s="27" t="str">
        <x:v>component</x:v>
      </x:c>
      <x:c r="H10" s="29"/>
      <x:c r="I10" s="27" t="str">
        <x:v>Espécie do componente 006.</x:v>
      </x:c>
    </x:row>
    <x:row r="11" ht="15" hidden="0" customHeight="1">
      <x:c r="A11" s="27" t="str">
        <x:v>S010</x:v>
      </x:c>
      <x:c r="B11" s="27" t="str">
        <x:v>SO4-2</x:v>
      </x:c>
      <x:c r="C11" s="27" t="str">
        <x:v>Sulfato</x:v>
      </x:c>
      <x:c r="D11" s="28" t="n">
        <x:v>-2</x:v>
      </x:c>
      <x:c r="E11" s="29" t="n">
        <x:v>0</x:v>
      </x:c>
      <x:c r="F11" s="27" t="str">
        <x:v>log10(beta)</x:v>
      </x:c>
      <x:c r="G11" s="27" t="str">
        <x:v>component</x:v>
      </x:c>
      <x:c r="H11" s="29"/>
      <x:c r="I11" s="27" t="str">
        <x:v>Espécie do componente 007.</x:v>
      </x:c>
    </x:row>
    <x:row r="12" ht="15" hidden="0" customHeight="1">
      <x:c r="A12" s="27" t="str">
        <x:v>S011</x:v>
      </x:c>
      <x:c r="B12" s="27" t="str">
        <x:v>HSO4-</x:v>
      </x:c>
      <x:c r="C12" s="27" t="str">
        <x:v>Hidrogenossulfato</x:v>
      </x:c>
      <x:c r="D12" s="28" t="n">
        <x:v>-1</x:v>
      </x:c>
      <x:c r="E12" s="29" t="n">
        <x:v>1.920819</x:v>
      </x:c>
      <x:c r="F12" s="27" t="str">
        <x:v>log10(beta)</x:v>
      </x:c>
      <x:c r="G12" s="27" t="str">
        <x:v>HSO4</x:v>
      </x:c>
      <x:c r="H12" s="29" t="n">
        <x:v>-1.920819</x:v>
      </x:c>
      <x:c r="I12" s="27" t="str">
        <x:v>logβ = -logKa.</x:v>
      </x:c>
    </x:row>
    <x:row r="13" ht="15" hidden="0" customHeight="1">
      <x:c r="A13" s="27" t="str">
        <x:v>S012</x:v>
      </x:c>
      <x:c r="B13" s="27" t="str">
        <x:v>CH3COO-</x:v>
      </x:c>
      <x:c r="C13" s="27" t="str">
        <x:v>Acetato</x:v>
      </x:c>
      <x:c r="D13" s="28" t="n">
        <x:v>-1</x:v>
      </x:c>
      <x:c r="E13" s="29" t="n">
        <x:v>0</x:v>
      </x:c>
      <x:c r="F13" s="27" t="str">
        <x:v>log10(beta)</x:v>
      </x:c>
      <x:c r="G13" s="27" t="str">
        <x:v>component</x:v>
      </x:c>
      <x:c r="H13" s="29"/>
      <x:c r="I13" s="27" t="str">
        <x:v>Espécie do componente 008.</x:v>
      </x:c>
    </x:row>
    <x:row r="14" ht="15" hidden="0" customHeight="1">
      <x:c r="A14" s="27" t="str">
        <x:v>S013</x:v>
      </x:c>
      <x:c r="B14" s="27" t="str">
        <x:v>CH3COOH</x:v>
      </x:c>
      <x:c r="C14" s="27" t="str">
        <x:v>Ácido acético</x:v>
      </x:c>
      <x:c r="D14" s="28" t="n">
        <x:v>0</x:v>
      </x:c>
      <x:c r="E14" s="29" t="n">
        <x:v>4.754487</x:v>
      </x:c>
      <x:c r="F14" s="27" t="str">
        <x:v>log10(beta)</x:v>
      </x:c>
      <x:c r="G14" s="27" t="str">
        <x:v>CH3COOH</x:v>
      </x:c>
      <x:c r="H14" s="29" t="n">
        <x:v>-4.754487</x:v>
      </x:c>
      <x:c r="I14" s="27" t="str">
        <x:v>logβ = -logKa.</x:v>
      </x:c>
    </x:row>
    <x:row r="15" ht="15" hidden="0" customHeight="1">
      <x:c r="A15" s="27" t="str">
        <x:v>S014</x:v>
      </x:c>
      <x:c r="B15" s="27" t="str">
        <x:v>Cit-3</x:v>
      </x:c>
      <x:c r="C15" s="27" t="str">
        <x:v>Citrato</x:v>
      </x:c>
      <x:c r="D15" s="28" t="n">
        <x:v>-3</x:v>
      </x:c>
      <x:c r="E15" s="29" t="n">
        <x:v>0</x:v>
      </x:c>
      <x:c r="F15" s="27" t="str">
        <x:v>log10(beta)</x:v>
      </x:c>
      <x:c r="G15" s="27" t="str">
        <x:v>component</x:v>
      </x:c>
      <x:c r="H15" s="29"/>
      <x:c r="I15" s="27" t="str">
        <x:v>Espécie do componente 009.</x:v>
      </x:c>
    </x:row>
    <x:row r="16" ht="15" hidden="0" customHeight="1">
      <x:c r="A16" s="27" t="str">
        <x:v>S015</x:v>
      </x:c>
      <x:c r="B16" s="27" t="str">
        <x:v>HCit-2</x:v>
      </x:c>
      <x:c r="C16" s="27" t="str">
        <x:v>Hidrogenocitrato</x:v>
      </x:c>
      <x:c r="D16" s="28" t="n">
        <x:v>-2</x:v>
      </x:c>
      <x:c r="E16" s="29" t="n">
        <x:v>6.396</x:v>
      </x:c>
      <x:c r="F16" s="27" t="str">
        <x:v>log10(beta)</x:v>
      </x:c>
      <x:c r="G16" s="27" t="str">
        <x:v>CIT3</x:v>
      </x:c>
      <x:c r="H16" s="29" t="n">
        <x:v>-6.396</x:v>
      </x:c>
      <x:c r="I16" s="27" t="str">
        <x:v>logβ = -logKa3.</x:v>
      </x:c>
    </x:row>
    <x:row r="17" ht="15" hidden="0" customHeight="1">
      <x:c r="A17" s="27" t="str">
        <x:v>S016</x:v>
      </x:c>
      <x:c r="B17" s="27" t="str">
        <x:v>H2Cit-</x:v>
      </x:c>
      <x:c r="C17" s="27" t="str">
        <x:v>Dihidrogenocitrato</x:v>
      </x:c>
      <x:c r="D17" s="28" t="n">
        <x:v>-1</x:v>
      </x:c>
      <x:c r="E17" s="29" t="n">
        <x:v>11.157</x:v>
      </x:c>
      <x:c r="F17" s="27" t="str">
        <x:v>log10(beta)</x:v>
      </x:c>
      <x:c r="G17" s="27" t="str">
        <x:v>CIT2+CIT3</x:v>
      </x:c>
      <x:c r="H17" s="29"/>
      <x:c r="I17" s="27" t="str">
        <x:v>logβ = -(logKa2 + logKa3).</x:v>
      </x:c>
    </x:row>
    <x:row r="18" ht="15" hidden="0" customHeight="1">
      <x:c r="A18" s="27" t="str">
        <x:v>S017</x:v>
      </x:c>
      <x:c r="B18" s="27" t="str">
        <x:v>H3Cit</x:v>
      </x:c>
      <x:c r="C18" s="27" t="str">
        <x:v>Ácido cítrico</x:v>
      </x:c>
      <x:c r="D18" s="28" t="n">
        <x:v>0</x:v>
      </x:c>
      <x:c r="E18" s="29" t="n">
        <x:v>14.285</x:v>
      </x:c>
      <x:c r="F18" s="27" t="str">
        <x:v>log10(beta)</x:v>
      </x:c>
      <x:c r="G18" s="27" t="str">
        <x:v>CIT1+CIT2+CIT3</x:v>
      </x:c>
      <x:c r="H18" s="29"/>
      <x:c r="I18" s="27" t="str">
        <x:v>logβ = -(logKa1 + logKa2 + logKa3).</x:v>
      </x:c>
    </x:row>
    <x:row r="19">
      <x:c r="A19" s="17" t="str">
        <x:v>S018</x:v>
      </x:c>
      <x:c r="B19" s="17" t="str">
        <x:v>CO3-2</x:v>
      </x:c>
      <x:c r="C19" s="17" t="str">
        <x:v>Carbonato</x:v>
      </x:c>
      <x:c r="D19" s="17" t="n">
        <x:v>-2</x:v>
      </x:c>
      <x:c r="E19" s="20" t="n">
        <x:v>0</x:v>
      </x:c>
      <x:c r="F19" s="17" t="str">
        <x:v>log10(beta)</x:v>
      </x:c>
      <x:c r="G19" s="17" t="str">
        <x:v>component</x:v>
      </x:c>
      <x:c r="H19" s="20"/>
      <x:c r="I19" s="17" t="str">
        <x:v>Espécie do componente 010.</x:v>
      </x:c>
    </x:row>
    <x:row r="20">
      <x:c r="A20" s="17" t="str">
        <x:v>S019</x:v>
      </x:c>
      <x:c r="B20" s="17" t="str">
        <x:v>HCO3-</x:v>
      </x:c>
      <x:c r="C20" s="17" t="str">
        <x:v>Bicarbonato</x:v>
      </x:c>
      <x:c r="D20" s="17" t="n">
        <x:v>-1</x:v>
      </x:c>
      <x:c r="E20" s="20" t="n">
        <x:v>10.329</x:v>
      </x:c>
      <x:c r="F20" s="17" t="str">
        <x:v>log10(beta)</x:v>
      </x:c>
      <x:c r="G20" s="17" t="str">
        <x:v>CO3-2 + H+ = HCO3-</x:v>
      </x:c>
      <x:c r="H20" s="20" t="n">
        <x:v>10.329</x:v>
      </x:c>
      <x:c r="I20" s="17" t="str">
        <x:v>logβ cumulativo a 25 °C e força iônica zero.</x:v>
      </x:c>
    </x:row>
    <x:row r="21">
      <x:c r="A21" s="17" t="str">
        <x:v>S020</x:v>
      </x:c>
      <x:c r="B21" s="17" t="str">
        <x:v>H2CO3</x:v>
      </x:c>
      <x:c r="C21" s="17" t="str">
        <x:v>Ácido carbônico formal</x:v>
      </x:c>
      <x:c r="D21" s="17" t="n">
        <x:v>0</x:v>
      </x:c>
      <x:c r="E21" s="20" t="n">
        <x:v>16.681</x:v>
      </x:c>
      <x:c r="F21" s="17" t="str">
        <x:v>log10(beta)</x:v>
      </x:c>
      <x:c r="G21" s="17" t="str">
        <x:v>CO3-2 + 2 H+ = H2CO3</x:v>
      </x:c>
      <x:c r="H21" s="20" t="n">
        <x:v>16.681</x:v>
      </x:c>
      <x:c r="I21" s="17" t="str">
        <x:v>Representa H2CO3* no modelo fechado ideal; logβ cumulativo.</x:v>
      </x:c>
    </x:row>
    <x:row r="22">
      <x:c r="A22" s="17" t="str">
        <x:v>S021</x:v>
      </x:c>
      <x:c r="B22" s="17" t="str">
        <x:v>PO4-3</x:v>
      </x:c>
      <x:c r="C22" s="17" t="str">
        <x:v>Fosfato</x:v>
      </x:c>
      <x:c r="D22" s="17" t="n">
        <x:v>-3</x:v>
      </x:c>
      <x:c r="E22" s="20" t="n">
        <x:v>0</x:v>
      </x:c>
      <x:c r="F22" s="17" t="str">
        <x:v>log10(beta)</x:v>
      </x:c>
      <x:c r="G22" s="17" t="str">
        <x:v>component</x:v>
      </x:c>
      <x:c r="H22" s="20"/>
      <x:c r="I22" s="17" t="str">
        <x:v>Espécie do componente 011.</x:v>
      </x:c>
    </x:row>
    <x:row r="23">
      <x:c r="A23" s="17" t="str">
        <x:v>S022</x:v>
      </x:c>
      <x:c r="B23" s="17" t="str">
        <x:v>HPO4-2</x:v>
      </x:c>
      <x:c r="C23" s="17" t="str">
        <x:v>Hidrogenofosfato</x:v>
      </x:c>
      <x:c r="D23" s="17" t="n">
        <x:v>-2</x:v>
      </x:c>
      <x:c r="E23" s="20" t="n">
        <x:v>12.375</x:v>
      </x:c>
      <x:c r="F23" s="17" t="str">
        <x:v>log10(beta)</x:v>
      </x:c>
      <x:c r="G23" s="17" t="str">
        <x:v>PO4-3 + H+ = HPO4-2</x:v>
      </x:c>
      <x:c r="H23" s="20" t="n">
        <x:v>12.375</x:v>
      </x:c>
      <x:c r="I23" s="17" t="str">
        <x:v>logβ cumulativo a 25 °C e força iônica zero.</x:v>
      </x:c>
    </x:row>
    <x:row r="24">
      <x:c r="A24" s="17" t="str">
        <x:v>S023</x:v>
      </x:c>
      <x:c r="B24" s="17" t="str">
        <x:v>H2PO4-</x:v>
      </x:c>
      <x:c r="C24" s="17" t="str">
        <x:v>Dihidrogenofosfato</x:v>
      </x:c>
      <x:c r="D24" s="17" t="n">
        <x:v>-1</x:v>
      </x:c>
      <x:c r="E24" s="20" t="n">
        <x:v>19.573</x:v>
      </x:c>
      <x:c r="F24" s="17" t="str">
        <x:v>log10(beta)</x:v>
      </x:c>
      <x:c r="G24" s="17" t="str">
        <x:v>PO4-3 + 2 H+ = H2PO4-</x:v>
      </x:c>
      <x:c r="H24" s="20" t="n">
        <x:v>19.573</x:v>
      </x:c>
      <x:c r="I24" s="17" t="str">
        <x:v>logβ cumulativo a 25 °C e força iônica zero.</x:v>
      </x:c>
    </x:row>
    <x:row r="25">
      <x:c r="A25" s="17" t="str">
        <x:v>S024</x:v>
      </x:c>
      <x:c r="B25" s="17" t="str">
        <x:v>H3PO4</x:v>
      </x:c>
      <x:c r="C25" s="17" t="str">
        <x:v>Ácido fosfórico</x:v>
      </x:c>
      <x:c r="D25" s="17" t="n">
        <x:v>0</x:v>
      </x:c>
      <x:c r="E25" s="20" t="n">
        <x:v>21.721</x:v>
      </x:c>
      <x:c r="F25" s="17" t="str">
        <x:v>log10(beta)</x:v>
      </x:c>
      <x:c r="G25" s="17" t="str">
        <x:v>PO4-3 + 3 H+ = H3PO4</x:v>
      </x:c>
      <x:c r="H25" s="20" t="n">
        <x:v>21.721</x:v>
      </x:c>
      <x:c r="I25" s="17" t="str">
        <x:v>logβ cumulativo a 25 °C e força iônica zero.</x:v>
      </x:c>
    </x:row>
    <x:row r="26">
      <x:c r="A26" t="str">
        <x:v>S025</x:v>
      </x:c>
      <x:c r="B26" t="str">
        <x:v>Br-</x:v>
      </x:c>
      <x:c r="C26" t="str">
        <x:v>Brometo</x:v>
      </x:c>
      <x:c r="D26" t="n">
        <x:v>-1</x:v>
      </x:c>
      <x:c r="E26" t="n">
        <x:v>0</x:v>
      </x:c>
      <x:c r="F26" t="str">
        <x:v>log10(beta)</x:v>
      </x:c>
      <x:c r="G26" t="str">
        <x:v>component</x:v>
      </x:c>
      <x:c r="H26"/>
      <x:c r="I26" t="str">
        <x:v>Espécie do componente 012.</x:v>
      </x:c>
    </x:row>
  </x:sheetData>
  <x:pageMargins left="0.7" right="0.7" top="0.75" bottom="0.75" header="0.3" footer="0.3"/>
  <x:tableParts count="1">
    <x:tablePart xmlns:r="http://schemas.openxmlformats.org/officeDocument/2006/relationships" r:id="Rf0571c9c1aab41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25" t="str">
        <x:v>species_id</x:v>
      </x:c>
      <x:c r="B1" s="25" t="str">
        <x:v>component_id</x:v>
      </x:c>
      <x:c r="C1" s="25" t="str">
        <x:v>coefficient</x:v>
      </x:c>
    </x:row>
    <x:row r="2" ht="15" hidden="0" customHeight="1">
      <x:c r="A2" s="27" t="str">
        <x:v>S001</x:v>
      </x:c>
      <x:c r="B2" s="26" t="str">
        <x:v>001</x:v>
      </x:c>
      <x:c r="C2" s="31" t="n">
        <x:v>1</x:v>
      </x:c>
    </x:row>
    <x:row r="3" ht="15" hidden="0" customHeight="1">
      <x:c r="A3" s="27" t="str">
        <x:v>S002</x:v>
      </x:c>
      <x:c r="B3" s="26" t="str">
        <x:v>001</x:v>
      </x:c>
      <x:c r="C3" s="31" t="n">
        <x:v>-1</x:v>
      </x:c>
    </x:row>
    <x:row r="4" ht="15" hidden="0" customHeight="1">
      <x:c r="A4" s="27" t="str">
        <x:v>S003</x:v>
      </x:c>
      <x:c r="B4" s="26" t="str">
        <x:v>002</x:v>
      </x:c>
      <x:c r="C4" s="31" t="n">
        <x:v>1</x:v>
      </x:c>
    </x:row>
    <x:row r="5" ht="15" hidden="0" customHeight="1">
      <x:c r="A5" s="27" t="str">
        <x:v>S004</x:v>
      </x:c>
      <x:c r="B5" s="26" t="str">
        <x:v>001</x:v>
      </x:c>
      <x:c r="C5" s="31" t="n">
        <x:v>1</x:v>
      </x:c>
    </x:row>
    <x:row r="6" ht="15" hidden="0" customHeight="1">
      <x:c r="A6" s="27" t="str">
        <x:v>S004</x:v>
      </x:c>
      <x:c r="B6" s="26" t="str">
        <x:v>002</x:v>
      </x:c>
      <x:c r="C6" s="31" t="n">
        <x:v>1</x:v>
      </x:c>
    </x:row>
    <x:row r="7" ht="15" hidden="0" customHeight="1">
      <x:c r="A7" s="27" t="str">
        <x:v>S005</x:v>
      </x:c>
      <x:c r="B7" s="26" t="str">
        <x:v>003</x:v>
      </x:c>
      <x:c r="C7" s="31" t="n">
        <x:v>1</x:v>
      </x:c>
    </x:row>
    <x:row r="8" ht="15" hidden="0" customHeight="1">
      <x:c r="A8" s="27" t="str">
        <x:v>S006</x:v>
      </x:c>
      <x:c r="B8" s="26" t="str">
        <x:v>004</x:v>
      </x:c>
      <x:c r="C8" s="31" t="n">
        <x:v>1</x:v>
      </x:c>
    </x:row>
    <x:row r="9" ht="15" hidden="0" customHeight="1">
      <x:c r="A9" s="27" t="str">
        <x:v>S007</x:v>
      </x:c>
      <x:c r="B9" s="26" t="str">
        <x:v>001</x:v>
      </x:c>
      <x:c r="C9" s="31" t="n">
        <x:v>1</x:v>
      </x:c>
    </x:row>
    <x:row r="10" ht="15" hidden="0" customHeight="1">
      <x:c r="A10" s="27" t="str">
        <x:v>S007</x:v>
      </x:c>
      <x:c r="B10" s="26" t="str">
        <x:v>004</x:v>
      </x:c>
      <x:c r="C10" s="31" t="n">
        <x:v>1</x:v>
      </x:c>
    </x:row>
    <x:row r="11" ht="15" hidden="0" customHeight="1">
      <x:c r="A11" s="27" t="str">
        <x:v>S008</x:v>
      </x:c>
      <x:c r="B11" s="26" t="str">
        <x:v>005</x:v>
      </x:c>
      <x:c r="C11" s="31" t="n">
        <x:v>1</x:v>
      </x:c>
    </x:row>
    <x:row r="12" ht="15" hidden="0" customHeight="1">
      <x:c r="A12" s="27" t="str">
        <x:v>S009</x:v>
      </x:c>
      <x:c r="B12" s="26" t="str">
        <x:v>006</x:v>
      </x:c>
      <x:c r="C12" s="31" t="n">
        <x:v>1</x:v>
      </x:c>
    </x:row>
    <x:row r="13" ht="15" hidden="0" customHeight="1">
      <x:c r="A13" s="27" t="str">
        <x:v>S010</x:v>
      </x:c>
      <x:c r="B13" s="26" t="str">
        <x:v>007</x:v>
      </x:c>
      <x:c r="C13" s="31" t="n">
        <x:v>1</x:v>
      </x:c>
    </x:row>
    <x:row r="14" ht="15" hidden="0" customHeight="1">
      <x:c r="A14" s="27" t="str">
        <x:v>S011</x:v>
      </x:c>
      <x:c r="B14" s="26" t="str">
        <x:v>001</x:v>
      </x:c>
      <x:c r="C14" s="31" t="n">
        <x:v>1</x:v>
      </x:c>
    </x:row>
    <x:row r="15" ht="15" hidden="0" customHeight="1">
      <x:c r="A15" s="27" t="str">
        <x:v>S011</x:v>
      </x:c>
      <x:c r="B15" s="26" t="str">
        <x:v>007</x:v>
      </x:c>
      <x:c r="C15" s="31" t="n">
        <x:v>1</x:v>
      </x:c>
    </x:row>
    <x:row r="16" ht="15" hidden="0" customHeight="1">
      <x:c r="A16" s="27" t="str">
        <x:v>S012</x:v>
      </x:c>
      <x:c r="B16" s="26" t="str">
        <x:v>008</x:v>
      </x:c>
      <x:c r="C16" s="31" t="n">
        <x:v>1</x:v>
      </x:c>
    </x:row>
    <x:row r="17" ht="15" hidden="0" customHeight="1">
      <x:c r="A17" s="27" t="str">
        <x:v>S013</x:v>
      </x:c>
      <x:c r="B17" s="26" t="str">
        <x:v>001</x:v>
      </x:c>
      <x:c r="C17" s="31" t="n">
        <x:v>1</x:v>
      </x:c>
    </x:row>
    <x:row r="18" ht="15" hidden="0" customHeight="1">
      <x:c r="A18" s="27" t="str">
        <x:v>S013</x:v>
      </x:c>
      <x:c r="B18" s="26" t="str">
        <x:v>008</x:v>
      </x:c>
      <x:c r="C18" s="31" t="n">
        <x:v>1</x:v>
      </x:c>
    </x:row>
    <x:row r="19" ht="15" hidden="0" customHeight="1">
      <x:c r="A19" s="27" t="str">
        <x:v>S014</x:v>
      </x:c>
      <x:c r="B19" s="26" t="str">
        <x:v>009</x:v>
      </x:c>
      <x:c r="C19" s="31" t="n">
        <x:v>1</x:v>
      </x:c>
    </x:row>
    <x:row r="20" ht="15" hidden="0" customHeight="1">
      <x:c r="A20" s="27" t="str">
        <x:v>S015</x:v>
      </x:c>
      <x:c r="B20" s="26" t="str">
        <x:v>001</x:v>
      </x:c>
      <x:c r="C20" s="31" t="n">
        <x:v>1</x:v>
      </x:c>
    </x:row>
    <x:row r="21" ht="15" hidden="0" customHeight="1">
      <x:c r="A21" s="27" t="str">
        <x:v>S015</x:v>
      </x:c>
      <x:c r="B21" s="26" t="str">
        <x:v>009</x:v>
      </x:c>
      <x:c r="C21" s="31" t="n">
        <x:v>1</x:v>
      </x:c>
    </x:row>
    <x:row r="22" ht="15" hidden="0" customHeight="1">
      <x:c r="A22" s="27" t="str">
        <x:v>S016</x:v>
      </x:c>
      <x:c r="B22" s="26" t="str">
        <x:v>001</x:v>
      </x:c>
      <x:c r="C22" s="31" t="n">
        <x:v>2</x:v>
      </x:c>
    </x:row>
    <x:row r="23" ht="15" hidden="0" customHeight="1">
      <x:c r="A23" s="27" t="str">
        <x:v>S016</x:v>
      </x:c>
      <x:c r="B23" s="26" t="str">
        <x:v>009</x:v>
      </x:c>
      <x:c r="C23" s="31" t="n">
        <x:v>1</x:v>
      </x:c>
    </x:row>
    <x:row r="24" ht="15" hidden="0" customHeight="1">
      <x:c r="A24" s="27" t="str">
        <x:v>S017</x:v>
      </x:c>
      <x:c r="B24" s="26" t="str">
        <x:v>001</x:v>
      </x:c>
      <x:c r="C24" s="31" t="n">
        <x:v>3</x:v>
      </x:c>
    </x:row>
    <x:row r="25" ht="15" hidden="0" customHeight="1">
      <x:c r="A25" s="27" t="str">
        <x:v>S017</x:v>
      </x:c>
      <x:c r="B25" s="26" t="str">
        <x:v>009</x:v>
      </x:c>
      <x:c r="C25" s="31" t="n">
        <x:v>1</x:v>
      </x:c>
    </x:row>
    <x:row r="26">
      <x:c r="A26" s="17" t="str">
        <x:v>S018</x:v>
      </x:c>
      <x:c r="B26" s="30" t="str">
        <x:v>010</x:v>
      </x:c>
      <x:c r="C26" s="32" t="n">
        <x:v>1</x:v>
      </x:c>
    </x:row>
    <x:row r="27">
      <x:c r="A27" s="17" t="str">
        <x:v>S019</x:v>
      </x:c>
      <x:c r="B27" s="30" t="str">
        <x:v>001</x:v>
      </x:c>
      <x:c r="C27" s="32" t="n">
        <x:v>1</x:v>
      </x:c>
    </x:row>
    <x:row r="28">
      <x:c r="A28" s="17" t="str">
        <x:v>S019</x:v>
      </x:c>
      <x:c r="B28" s="30" t="str">
        <x:v>010</x:v>
      </x:c>
      <x:c r="C28" s="32" t="n">
        <x:v>1</x:v>
      </x:c>
    </x:row>
    <x:row r="29">
      <x:c r="A29" s="17" t="str">
        <x:v>S020</x:v>
      </x:c>
      <x:c r="B29" s="30" t="str">
        <x:v>001</x:v>
      </x:c>
      <x:c r="C29" s="32" t="n">
        <x:v>2</x:v>
      </x:c>
    </x:row>
    <x:row r="30">
      <x:c r="A30" s="17" t="str">
        <x:v>S020</x:v>
      </x:c>
      <x:c r="B30" s="30" t="str">
        <x:v>010</x:v>
      </x:c>
      <x:c r="C30" s="32" t="n">
        <x:v>1</x:v>
      </x:c>
    </x:row>
    <x:row r="31">
      <x:c r="A31" s="17" t="str">
        <x:v>S021</x:v>
      </x:c>
      <x:c r="B31" s="30" t="str">
        <x:v>011</x:v>
      </x:c>
      <x:c r="C31" s="32" t="n">
        <x:v>1</x:v>
      </x:c>
    </x:row>
    <x:row r="32">
      <x:c r="A32" s="17" t="str">
        <x:v>S022</x:v>
      </x:c>
      <x:c r="B32" s="30" t="str">
        <x:v>001</x:v>
      </x:c>
      <x:c r="C32" s="32" t="n">
        <x:v>1</x:v>
      </x:c>
    </x:row>
    <x:row r="33">
      <x:c r="A33" s="17" t="str">
        <x:v>S022</x:v>
      </x:c>
      <x:c r="B33" s="30" t="str">
        <x:v>011</x:v>
      </x:c>
      <x:c r="C33" s="32" t="n">
        <x:v>1</x:v>
      </x:c>
    </x:row>
    <x:row r="34">
      <x:c r="A34" s="17" t="str">
        <x:v>S023</x:v>
      </x:c>
      <x:c r="B34" s="30" t="str">
        <x:v>001</x:v>
      </x:c>
      <x:c r="C34" s="32" t="n">
        <x:v>2</x:v>
      </x:c>
    </x:row>
    <x:row r="35">
      <x:c r="A35" s="17" t="str">
        <x:v>S023</x:v>
      </x:c>
      <x:c r="B35" s="30" t="str">
        <x:v>011</x:v>
      </x:c>
      <x:c r="C35" s="32" t="n">
        <x:v>1</x:v>
      </x:c>
    </x:row>
    <x:row r="36">
      <x:c r="A36" s="17" t="str">
        <x:v>S024</x:v>
      </x:c>
      <x:c r="B36" s="30" t="str">
        <x:v>001</x:v>
      </x:c>
      <x:c r="C36" s="32" t="n">
        <x:v>3</x:v>
      </x:c>
    </x:row>
    <x:row r="37">
      <x:c r="A37" s="17" t="str">
        <x:v>S024</x:v>
      </x:c>
      <x:c r="B37" s="30" t="str">
        <x:v>011</x:v>
      </x:c>
      <x:c r="C37" s="32" t="n">
        <x:v>1</x:v>
      </x:c>
    </x:row>
    <x:row r="38">
      <x:c r="A38" t="str">
        <x:v>S025</x:v>
      </x:c>
      <x:c r="B38" s="33" t="str">
        <x:v>012</x:v>
      </x:c>
      <x:c r="C38" s="3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8176d30ae91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4" hidden="0" customWidth="1"/>
    <x:col min="5" max="5" width="72" hidden="0" customWidth="1"/>
  </x:cols>
  <x:sheetData>
    <x:row r="1" ht="15" hidden="0" customHeight="1">
      <x:c r="A1" s="25" t="str">
        <x:v>material_id</x:v>
      </x:c>
      <x:c r="B1" s="25" t="str">
        <x:v>formula</x:v>
      </x:c>
      <x:c r="C1" s="25" t="str">
        <x:v>name</x:v>
      </x:c>
      <x:c r="D1" s="25" t="str">
        <x:v>input_model</x:v>
      </x:c>
      <x:c r="E1" s="25" t="str">
        <x:v>notes</x:v>
      </x:c>
    </x:row>
    <x:row r="2" ht="15" hidden="0" customHeight="1">
      <x:c r="A2" s="27" t="str">
        <x:v>M001</x:v>
      </x:c>
      <x:c r="B2" s="27" t="str">
        <x:v>HF</x:v>
      </x:c>
      <x:c r="C2" s="27" t="str">
        <x:v>Ácido fluorídrico</x:v>
      </x:c>
      <x:c r="D2" s="27" t="str">
        <x:v>analytical_total</x:v>
      </x:c>
      <x:c r="E2" s="27" t="str">
        <x:v>Decomposição formal: H+ + F-; o equilíbrio determina a distribuição HF/F-.</x:v>
      </x:c>
    </x:row>
    <x:row r="3" ht="15" hidden="0" customHeight="1">
      <x:c r="A3" s="27" t="str">
        <x:v>M002</x:v>
      </x:c>
      <x:c r="B3" s="27" t="str">
        <x:v>HCl</x:v>
      </x:c>
      <x:c r="C3" s="27" t="str">
        <x:v>Ácido clorídrico</x:v>
      </x:c>
      <x:c r="D3" s="27" t="str">
        <x:v>complete_dissociation</x:v>
      </x:c>
      <x:c r="E3" s="27" t="str">
        <x:v>Dissociação completa: H+ + Cl-.</x:v>
      </x:c>
    </x:row>
    <x:row r="4" ht="15" hidden="0" customHeight="1">
      <x:c r="A4" s="27" t="str">
        <x:v>M003</x:v>
      </x:c>
      <x:c r="B4" s="27" t="str">
        <x:v>NH4NO3</x:v>
      </x:c>
      <x:c r="C4" s="27" t="str">
        <x:v>Nitrato de amônio</x:v>
      </x:c>
      <x:c r="D4" s="27" t="str">
        <x:v>complete_dissociation</x:v>
      </x:c>
      <x:c r="E4" s="27" t="str">
        <x:v>Dissociação completa: NH4+ + NO3-.</x:v>
      </x:c>
    </x:row>
    <x:row r="5" ht="15" hidden="0" customHeight="1">
      <x:c r="A5" s="27" t="str">
        <x:v>M004</x:v>
      </x:c>
      <x:c r="B5" s="27" t="str">
        <x:v>NaHSO4</x:v>
      </x:c>
      <x:c r="C5" s="27" t="str">
        <x:v>Hidrogenossulfato de sódio</x:v>
      </x:c>
      <x:c r="D5" s="27" t="str">
        <x:v>complete_dissociation</x:v>
      </x:c>
      <x:c r="E5" s="27" t="str">
        <x:v>Dissociação completa: Na+ + HSO4-; o equilíbrio determina HSO4-/SO4-2.</x:v>
      </x:c>
    </x:row>
    <x:row r="6" ht="15" hidden="0" customHeight="1">
      <x:c r="A6" s="27" t="str">
        <x:v>M005</x:v>
      </x:c>
      <x:c r="B6" s="27" t="str">
        <x:v>HSO4-</x:v>
      </x:c>
      <x:c r="C6" s="27" t="str">
        <x:v>Hidrogenossulfato</x:v>
      </x:c>
      <x:c r="D6" s="27" t="str">
        <x:v>analytical_total</x:v>
      </x:c>
      <x:c r="E6" s="27" t="str">
        <x:v>Alias legado da entrada por espécie HSO4-.</x:v>
      </x:c>
    </x:row>
    <x:row r="7" ht="15" hidden="0" customHeight="1">
      <x:c r="A7" s="27" t="str">
        <x:v>M006</x:v>
      </x:c>
      <x:c r="B7" s="27" t="str">
        <x:v>NH4+</x:v>
      </x:c>
      <x:c r="C7" s="27" t="str">
        <x:v>Amônio</x:v>
      </x:c>
      <x:c r="D7" s="27" t="str">
        <x:v>analytical_total</x:v>
      </x:c>
      <x:c r="E7" s="27" t="str">
        <x:v>Alias legado da entrada por espécie NH4+.</x:v>
      </x:c>
    </x:row>
    <x:row r="8" ht="15" hidden="0" customHeight="1">
      <x:c r="A8" s="27" t="str">
        <x:v>M007</x:v>
      </x:c>
      <x:c r="B8" s="27" t="str">
        <x:v>NaCl</x:v>
      </x:c>
      <x:c r="C8" s="27" t="str">
        <x:v>Cloreto de sódio</x:v>
      </x:c>
      <x:c r="D8" s="27" t="str">
        <x:v>complete_dissociation</x:v>
      </x:c>
      <x:c r="E8" s="27" t="str">
        <x:v>Dissociação completa: Na+ + Cl-.</x:v>
      </x:c>
    </x:row>
    <x:row r="9" ht="15" hidden="0" customHeight="1">
      <x:c r="A9" s="27" t="str">
        <x:v>M008</x:v>
      </x:c>
      <x:c r="B9" s="27" t="str">
        <x:v>NH3</x:v>
      </x:c>
      <x:c r="C9" s="27" t="str">
        <x:v>Amônia</x:v>
      </x:c>
      <x:c r="D9" s="27" t="str">
        <x:v>analytical_total</x:v>
      </x:c>
      <x:c r="E9" s="27" t="str">
        <x:v>Decomposição formal: NH4+ + OH-; água implícita e distribuição resolvida no equilíbrio.</x:v>
      </x:c>
    </x:row>
    <x:row r="10" ht="15" hidden="0" customHeight="1">
      <x:c r="A10" s="27" t="str">
        <x:v>M009</x:v>
      </x:c>
      <x:c r="B10" s="27" t="str">
        <x:v>CH3COOH</x:v>
      </x:c>
      <x:c r="C10" s="27" t="str">
        <x:v>Ácido acético</x:v>
      </x:c>
      <x:c r="D10" s="27" t="str">
        <x:v>analytical_total</x:v>
      </x:c>
      <x:c r="E10" s="27" t="str">
        <x:v>Decomposição formal: H+ + CH3COO-; o equilíbrio determina CH3COOH/CH3COO-.</x:v>
      </x:c>
    </x:row>
    <x:row r="11" ht="15" hidden="0" customHeight="1">
      <x:c r="A11" s="27" t="str">
        <x:v>M010</x:v>
      </x:c>
      <x:c r="B11" s="27" t="str">
        <x:v>NaOH</x:v>
      </x:c>
      <x:c r="C11" s="27" t="str">
        <x:v>Hidróxido de sódio</x:v>
      </x:c>
      <x:c r="D11" s="27" t="str">
        <x:v>complete_dissociation</x:v>
      </x:c>
      <x:c r="E11" s="27" t="str">
        <x:v>Dissociação completa: Na+ + OH-.</x:v>
      </x:c>
    </x:row>
    <x:row r="12" ht="15" hidden="0" customHeight="1">
      <x:c r="A12" s="27" t="str">
        <x:v>M011</x:v>
      </x:c>
      <x:c r="B12" s="27" t="str">
        <x:v>H3Cit</x:v>
      </x:c>
      <x:c r="C12" s="27" t="str">
        <x:v>Ácido cítrico</x:v>
      </x:c>
      <x:c r="D12" s="27" t="str">
        <x:v>analytical_total</x:v>
      </x:c>
      <x:c r="E12" s="27" t="str">
        <x:v>Decomposição formal: 3 H+ + Cit-3; o equilíbrio determina as formas protonadas.</x:v>
      </x:c>
    </x:row>
    <x:row r="13">
      <x:c r="A13" s="17" t="str">
        <x:v>M012</x:v>
      </x:c>
      <x:c r="B13" s="17" t="str">
        <x:v>NaCH3COO</x:v>
      </x:c>
      <x:c r="C13" s="17" t="str">
        <x:v>Acetato de sódio</x:v>
      </x:c>
      <x:c r="D13" s="17" t="str">
        <x:v>complete_dissociation</x:v>
      </x:c>
      <x:c r="E13" s="17" t="str">
        <x:v>Dissociação completa: Na+ + CH3COO-.</x:v>
      </x:c>
    </x:row>
    <x:row r="14">
      <x:c r="A14" s="17" t="str">
        <x:v>M013</x:v>
      </x:c>
      <x:c r="B14" s="17" t="str">
        <x:v>NH4Cl</x:v>
      </x:c>
      <x:c r="C14" s="17" t="str">
        <x:v>Cloreto de amônio</x:v>
      </x:c>
      <x:c r="D14" s="17" t="str">
        <x:v>complete_dissociation</x:v>
      </x:c>
      <x:c r="E14" s="17" t="str">
        <x:v>Dissociação completa: NH4+ + Cl-.</x:v>
      </x:c>
    </x:row>
    <x:row r="15">
      <x:c r="A15" s="17" t="str">
        <x:v>M014</x:v>
      </x:c>
      <x:c r="B15" s="17" t="str">
        <x:v>H2CO3</x:v>
      </x:c>
      <x:c r="C15" s="17" t="str">
        <x:v>Ácido carbônico formal</x:v>
      </x:c>
      <x:c r="D15" s="17" t="str">
        <x:v>analytical_total</x:v>
      </x:c>
      <x:c r="E15" s="17" t="str">
        <x:v>Decomposição formal: 2 H+ + CO3-2; modelo fechado, sem troca com CO2(g).</x:v>
      </x:c>
    </x:row>
    <x:row r="16">
      <x:c r="A16" s="17" t="str">
        <x:v>M015</x:v>
      </x:c>
      <x:c r="B16" s="17" t="str">
        <x:v>NaHCO3</x:v>
      </x:c>
      <x:c r="C16" s="17" t="str">
        <x:v>Bicarbonato de sódio</x:v>
      </x:c>
      <x:c r="D16" s="17" t="str">
        <x:v>complete_dissociation</x:v>
      </x:c>
      <x:c r="E16" s="17" t="str">
        <x:v>Dissociação completa: Na+ + HCO3-.</x:v>
      </x:c>
    </x:row>
    <x:row r="17">
      <x:c r="A17" s="17" t="str">
        <x:v>M016</x:v>
      </x:c>
      <x:c r="B17" s="17" t="str">
        <x:v>Na2CO3</x:v>
      </x:c>
      <x:c r="C17" s="17" t="str">
        <x:v>Carbonato de sódio</x:v>
      </x:c>
      <x:c r="D17" s="17" t="str">
        <x:v>complete_dissociation</x:v>
      </x:c>
      <x:c r="E17" s="17" t="str">
        <x:v>Dissociação completa: 2 Na+ + CO3-2.</x:v>
      </x:c>
    </x:row>
    <x:row r="18">
      <x:c r="A18" s="17" t="str">
        <x:v>M017</x:v>
      </x:c>
      <x:c r="B18" s="17" t="str">
        <x:v>H3PO4</x:v>
      </x:c>
      <x:c r="C18" s="17" t="str">
        <x:v>Ácido fosfórico</x:v>
      </x:c>
      <x:c r="D18" s="17" t="str">
        <x:v>analytical_total</x:v>
      </x:c>
      <x:c r="E18" s="17" t="str">
        <x:v>Decomposição formal: 3 H+ + PO4-3; o equilíbrio determina as formas protonadas.</x:v>
      </x:c>
    </x:row>
    <x:row r="19">
      <x:c r="A19" s="17" t="str">
        <x:v>M018</x:v>
      </x:c>
      <x:c r="B19" s="17" t="str">
        <x:v>NaH2PO4</x:v>
      </x:c>
      <x:c r="C19" s="17" t="str">
        <x:v>Dihidrogenofosfato de sódio</x:v>
      </x:c>
      <x:c r="D19" s="17" t="str">
        <x:v>complete_dissociation</x:v>
      </x:c>
      <x:c r="E19" s="17" t="str">
        <x:v>Dissociação completa: Na+ + H2PO4-.</x:v>
      </x:c>
    </x:row>
    <x:row r="20">
      <x:c r="A20" s="17" t="str">
        <x:v>M019</x:v>
      </x:c>
      <x:c r="B20" s="17" t="str">
        <x:v>Na2HPO4</x:v>
      </x:c>
      <x:c r="C20" s="17" t="str">
        <x:v>Hidrogenofosfato dissódico</x:v>
      </x:c>
      <x:c r="D20" s="17" t="str">
        <x:v>complete_dissociation</x:v>
      </x:c>
      <x:c r="E20" s="17" t="str">
        <x:v>Dissociação completa: 2 Na+ + HPO4-2.</x:v>
      </x:c>
    </x:row>
    <x:row r="21">
      <x:c r="A21" s="17" t="str">
        <x:v>M020</x:v>
      </x:c>
      <x:c r="B21" s="17" t="str">
        <x:v>Na3PO4</x:v>
      </x:c>
      <x:c r="C21" s="17" t="str">
        <x:v>Fosfato trissódico</x:v>
      </x:c>
      <x:c r="D21" s="17" t="str">
        <x:v>complete_dissociation</x:v>
      </x:c>
      <x:c r="E21" s="17" t="str">
        <x:v>Dissociação completa: 3 Na+ + PO4-3.</x:v>
      </x:c>
    </x:row>
    <x:row r="22">
      <x:c r="A22" s="17" t="str">
        <x:v>M021</x:v>
      </x:c>
      <x:c r="B22" s="17" t="str">
        <x:v>Na3Cit</x:v>
      </x:c>
      <x:c r="C22" s="17" t="str">
        <x:v>Citrato trissódico</x:v>
      </x:c>
      <x:c r="D22" s="17" t="str">
        <x:v>complete_dissociation</x:v>
      </x:c>
      <x:c r="E22" s="17" t="str">
        <x:v>Dissociação completa: 3 Na+ + Cit-3.</x:v>
      </x:c>
    </x:row>
    <x:row r="23">
      <x:c r="A23" t="str">
        <x:v>M022</x:v>
      </x:c>
      <x:c r="B23" t="str">
        <x:v>HBr</x:v>
      </x:c>
      <x:c r="C23" t="str">
        <x:v>Ácido bromídrico</x:v>
      </x:c>
      <x:c r="D23" t="str">
        <x:v>complete_dissociation</x:v>
      </x:c>
      <x:c r="E23" t="str">
        <x:v>Dissociação completa: H+ + Br-.</x:v>
      </x:c>
    </x:row>
  </x:sheetData>
  <x:pageMargins left="0.7" right="0.7" top="0.75" bottom="0.75" header="0.3" footer="0.3"/>
  <x:tableParts count="1">
    <x:tablePart xmlns:r="http://schemas.openxmlformats.org/officeDocument/2006/relationships" r:id="Rf438161eb296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25" t="str">
        <x:v>material_id</x:v>
      </x:c>
      <x:c r="B1" s="25" t="str">
        <x:v>component_id</x:v>
      </x:c>
      <x:c r="C1" s="25" t="str">
        <x:v>coefficient</x:v>
      </x:c>
    </x:row>
    <x:row r="2" ht="15" hidden="0" customHeight="1">
      <x:c r="A2" s="27" t="str">
        <x:v>M001</x:v>
      </x:c>
      <x:c r="B2" s="26" t="str">
        <x:v>002</x:v>
      </x:c>
      <x:c r="C2" s="31" t="n">
        <x:v>1</x:v>
      </x:c>
    </x:row>
    <x:row r="3" ht="15" hidden="0" customHeight="1">
      <x:c r="A3" s="27" t="str">
        <x:v>M002</x:v>
      </x:c>
      <x:c r="B3" s="26" t="str">
        <x:v>003</x:v>
      </x:c>
      <x:c r="C3" s="31" t="n">
        <x:v>1</x:v>
      </x:c>
    </x:row>
    <x:row r="4" ht="15" hidden="0" customHeight="1">
      <x:c r="A4" s="27" t="str">
        <x:v>M003</x:v>
      </x:c>
      <x:c r="B4" s="26" t="str">
        <x:v>004</x:v>
      </x:c>
      <x:c r="C4" s="31" t="n">
        <x:v>1</x:v>
      </x:c>
    </x:row>
    <x:row r="5" ht="15" hidden="0" customHeight="1">
      <x:c r="A5" s="27" t="str">
        <x:v>M003</x:v>
      </x:c>
      <x:c r="B5" s="26" t="str">
        <x:v>005</x:v>
      </x:c>
      <x:c r="C5" s="31" t="n">
        <x:v>1</x:v>
      </x:c>
    </x:row>
    <x:row r="6" ht="15" hidden="0" customHeight="1">
      <x:c r="A6" s="27" t="str">
        <x:v>M004</x:v>
      </x:c>
      <x:c r="B6" s="26" t="str">
        <x:v>006</x:v>
      </x:c>
      <x:c r="C6" s="31" t="n">
        <x:v>1</x:v>
      </x:c>
    </x:row>
    <x:row r="7" ht="15" hidden="0" customHeight="1">
      <x:c r="A7" s="27" t="str">
        <x:v>M004</x:v>
      </x:c>
      <x:c r="B7" s="26" t="str">
        <x:v>007</x:v>
      </x:c>
      <x:c r="C7" s="31" t="n">
        <x:v>1</x:v>
      </x:c>
    </x:row>
    <x:row r="8" ht="15" hidden="0" customHeight="1">
      <x:c r="A8" s="27" t="str">
        <x:v>M005</x:v>
      </x:c>
      <x:c r="B8" s="26" t="str">
        <x:v>007</x:v>
      </x:c>
      <x:c r="C8" s="31" t="n">
        <x:v>1</x:v>
      </x:c>
    </x:row>
    <x:row r="9" ht="15" hidden="0" customHeight="1">
      <x:c r="A9" s="27" t="str">
        <x:v>M006</x:v>
      </x:c>
      <x:c r="B9" s="26" t="str">
        <x:v>004</x:v>
      </x:c>
      <x:c r="C9" s="31" t="n">
        <x:v>1</x:v>
      </x:c>
    </x:row>
    <x:row r="10" ht="15" hidden="0" customHeight="1">
      <x:c r="A10" s="27" t="str">
        <x:v>M007</x:v>
      </x:c>
      <x:c r="B10" s="26" t="str">
        <x:v>006</x:v>
      </x:c>
      <x:c r="C10" s="31" t="n">
        <x:v>1</x:v>
      </x:c>
    </x:row>
    <x:row r="11" ht="15" hidden="0" customHeight="1">
      <x:c r="A11" s="27" t="str">
        <x:v>M007</x:v>
      </x:c>
      <x:c r="B11" s="26" t="str">
        <x:v>003</x:v>
      </x:c>
      <x:c r="C11" s="31" t="n">
        <x:v>1</x:v>
      </x:c>
    </x:row>
    <x:row r="12" ht="15" hidden="0" customHeight="1">
      <x:c r="A12" s="27" t="str">
        <x:v>M008</x:v>
      </x:c>
      <x:c r="B12" s="26" t="str">
        <x:v>004</x:v>
      </x:c>
      <x:c r="C12" s="31" t="n">
        <x:v>1</x:v>
      </x:c>
    </x:row>
    <x:row r="13" ht="15" hidden="0" customHeight="1">
      <x:c r="A13" s="27" t="str">
        <x:v>M009</x:v>
      </x:c>
      <x:c r="B13" s="26" t="str">
        <x:v>008</x:v>
      </x:c>
      <x:c r="C13" s="31" t="n">
        <x:v>1</x:v>
      </x:c>
    </x:row>
    <x:row r="14" ht="15" hidden="0" customHeight="1">
      <x:c r="A14" s="27" t="str">
        <x:v>M010</x:v>
      </x:c>
      <x:c r="B14" s="26" t="str">
        <x:v>006</x:v>
      </x:c>
      <x:c r="C14" s="31" t="n">
        <x:v>1</x:v>
      </x:c>
    </x:row>
    <x:row r="15" ht="15" hidden="0" customHeight="1">
      <x:c r="A15" s="27" t="str">
        <x:v>M011</x:v>
      </x:c>
      <x:c r="B15" s="26" t="str">
        <x:v>009</x:v>
      </x:c>
      <x:c r="C15" s="31" t="n">
        <x:v>1</x:v>
      </x:c>
    </x:row>
    <x:row r="16">
      <x:c r="A16" s="17" t="str">
        <x:v>M012</x:v>
      </x:c>
      <x:c r="B16" s="30" t="str">
        <x:v>006</x:v>
      </x:c>
      <x:c r="C16" s="32" t="n">
        <x:v>1</x:v>
      </x:c>
    </x:row>
    <x:row r="17">
      <x:c r="A17" s="17" t="str">
        <x:v>M012</x:v>
      </x:c>
      <x:c r="B17" s="30" t="str">
        <x:v>008</x:v>
      </x:c>
      <x:c r="C17" s="32" t="n">
        <x:v>1</x:v>
      </x:c>
    </x:row>
    <x:row r="18">
      <x:c r="A18" s="17" t="str">
        <x:v>M013</x:v>
      </x:c>
      <x:c r="B18" s="30" t="str">
        <x:v>004</x:v>
      </x:c>
      <x:c r="C18" s="32" t="n">
        <x:v>1</x:v>
      </x:c>
    </x:row>
    <x:row r="19">
      <x:c r="A19" s="17" t="str">
        <x:v>M013</x:v>
      </x:c>
      <x:c r="B19" s="30" t="str">
        <x:v>003</x:v>
      </x:c>
      <x:c r="C19" s="32" t="n">
        <x:v>1</x:v>
      </x:c>
    </x:row>
    <x:row r="20">
      <x:c r="A20" s="17" t="str">
        <x:v>M014</x:v>
      </x:c>
      <x:c r="B20" s="30" t="str">
        <x:v>010</x:v>
      </x:c>
      <x:c r="C20" s="32" t="n">
        <x:v>1</x:v>
      </x:c>
    </x:row>
    <x:row r="21">
      <x:c r="A21" s="17" t="str">
        <x:v>M015</x:v>
      </x:c>
      <x:c r="B21" s="30" t="str">
        <x:v>006</x:v>
      </x:c>
      <x:c r="C21" s="32" t="n">
        <x:v>1</x:v>
      </x:c>
    </x:row>
    <x:row r="22">
      <x:c r="A22" s="17" t="str">
        <x:v>M015</x:v>
      </x:c>
      <x:c r="B22" s="30" t="str">
        <x:v>010</x:v>
      </x:c>
      <x:c r="C22" s="32" t="n">
        <x:v>1</x:v>
      </x:c>
    </x:row>
    <x:row r="23">
      <x:c r="A23" s="17" t="str">
        <x:v>M016</x:v>
      </x:c>
      <x:c r="B23" s="30" t="str">
        <x:v>006</x:v>
      </x:c>
      <x:c r="C23" s="32" t="n">
        <x:v>2</x:v>
      </x:c>
    </x:row>
    <x:row r="24">
      <x:c r="A24" s="17" t="str">
        <x:v>M016</x:v>
      </x:c>
      <x:c r="B24" s="30" t="str">
        <x:v>010</x:v>
      </x:c>
      <x:c r="C24" s="32" t="n">
        <x:v>1</x:v>
      </x:c>
    </x:row>
    <x:row r="25">
      <x:c r="A25" s="17" t="str">
        <x:v>M017</x:v>
      </x:c>
      <x:c r="B25" s="30" t="str">
        <x:v>011</x:v>
      </x:c>
      <x:c r="C25" s="32" t="n">
        <x:v>1</x:v>
      </x:c>
    </x:row>
    <x:row r="26">
      <x:c r="A26" s="17" t="str">
        <x:v>M018</x:v>
      </x:c>
      <x:c r="B26" s="30" t="str">
        <x:v>006</x:v>
      </x:c>
      <x:c r="C26" s="32" t="n">
        <x:v>1</x:v>
      </x:c>
    </x:row>
    <x:row r="27">
      <x:c r="A27" s="17" t="str">
        <x:v>M018</x:v>
      </x:c>
      <x:c r="B27" s="30" t="str">
        <x:v>011</x:v>
      </x:c>
      <x:c r="C27" s="32" t="n">
        <x:v>1</x:v>
      </x:c>
    </x:row>
    <x:row r="28">
      <x:c r="A28" s="17" t="str">
        <x:v>M019</x:v>
      </x:c>
      <x:c r="B28" s="30" t="str">
        <x:v>006</x:v>
      </x:c>
      <x:c r="C28" s="32" t="n">
        <x:v>2</x:v>
      </x:c>
    </x:row>
    <x:row r="29">
      <x:c r="A29" s="17" t="str">
        <x:v>M019</x:v>
      </x:c>
      <x:c r="B29" s="30" t="str">
        <x:v>011</x:v>
      </x:c>
      <x:c r="C29" s="32" t="n">
        <x:v>1</x:v>
      </x:c>
    </x:row>
    <x:row r="30">
      <x:c r="A30" s="17" t="str">
        <x:v>M020</x:v>
      </x:c>
      <x:c r="B30" s="30" t="str">
        <x:v>006</x:v>
      </x:c>
      <x:c r="C30" s="32" t="n">
        <x:v>3</x:v>
      </x:c>
    </x:row>
    <x:row r="31">
      <x:c r="A31" s="17" t="str">
        <x:v>M020</x:v>
      </x:c>
      <x:c r="B31" s="30" t="str">
        <x:v>011</x:v>
      </x:c>
      <x:c r="C31" s="32" t="n">
        <x:v>1</x:v>
      </x:c>
    </x:row>
    <x:row r="32">
      <x:c r="A32" s="17" t="str">
        <x:v>M021</x:v>
      </x:c>
      <x:c r="B32" s="30" t="str">
        <x:v>006</x:v>
      </x:c>
      <x:c r="C32" s="32" t="n">
        <x:v>3</x:v>
      </x:c>
    </x:row>
    <x:row r="33">
      <x:c r="A33" s="17" t="str">
        <x:v>M021</x:v>
      </x:c>
      <x:c r="B33" s="30" t="str">
        <x:v>009</x:v>
      </x:c>
      <x:c r="C33" s="32" t="n">
        <x:v>1</x:v>
      </x:c>
    </x:row>
    <x:row r="34">
      <x:c r="A34" t="str">
        <x:v>M022</x:v>
      </x:c>
      <x:c r="B34" s="33" t="str">
        <x:v>012</x:v>
      </x:c>
      <x:c r="C34" s="3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d35ea2f36414d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10" t="str">
        <x:v>Base ácido–base ideal — conjuntos prioritários</x:v>
      </x:c>
      <x:c r="B1" s="10"/>
    </x:row>
    <x:row r="3" ht="24" customHeight="1">
      <x:c r="A3" s="15" t="str">
        <x:v>Campo</x:v>
      </x:c>
      <x:c r="B3" s="15" t="str">
        <x:v>Descrição</x:v>
      </x:c>
    </x:row>
    <x:row r="4" ht="24" customHeight="1">
      <x:c r="A4" s="16" t="str">
        <x:v>Fonte de verdade</x:v>
      </x:c>
      <x:c r="B4" s="17" t="str">
        <x:v>As tabelas components, species, composition, materials e material_species formam a base operacional consumida pelo Python e pela interface web.</x:v>
      </x:c>
    </x:row>
    <x:row r="5" ht="24" customHeight="1">
      <x:c r="A5" s="16" t="str">
        <x:v>Convenção</x:v>
      </x:c>
      <x:c r="B5" s="17" t="str">
        <x:v>Todas as espécies usam log10(beta) cumulativo em relação ao componente-base e a H+.</x:v>
      </x:c>
    </x:row>
    <x:row r="6" ht="24" customHeight="1">
      <x:c r="A6" s="16" t="str">
        <x:v>Condição padrão</x:v>
      </x:c>
      <x:c r="B6" s="17" t="str">
        <x:v>25 °C, solução ideal e força iônica de referência igual a zero para as novas famílias.</x:v>
      </x:c>
    </x:row>
    <x:row r="7" ht="24" customHeight="1">
      <x:c r="A7" s="16" t="str">
        <x:v>Escopo</x:v>
      </x:c>
      <x:c r="B7" s="17" t="str">
        <x:v>Equilíbrio ácido–base ideal em sistema aquoso fechado; sem atividade, gás, precipitação, complexação ou redox.</x:v>
      </x:c>
    </x:row>
    <x:row r="8" ht="24" customHeight="1">
      <x:c r="A8" s="16" t="str">
        <x:v>P0 — núcleo</x:v>
      </x:c>
      <x:c r="B8" s="17" t="str">
        <x:v>Água, ácido/base fortes, neutralização e tampões monoprotônicos.</x:v>
      </x:c>
    </x:row>
    <x:row r="9" ht="24" customHeight="1">
      <x:c r="A9" s="16" t="str">
        <x:v>P1 — famílias</x:v>
      </x:c>
      <x:c r="B9" s="17" t="str">
        <x:v>Carbonato, fosfato, citrato e espécies anfipróticas.</x:v>
      </x:c>
    </x:row>
    <x:row r="10" ht="24" customHeight="1">
      <x:c r="A10" s="16" t="str">
        <x:v>P2 — robustez</x:v>
      </x:c>
      <x:c r="B10" s="17" t="str">
        <x:v>Concentrações nulas, escalas extremas, fundos concentrados e pares gerados.</x:v>
      </x:c>
    </x:row>
    <x:row r="11" ht="24" customHeight="1">
      <x:c r="A11" s="16" t="str">
        <x:v>Componentes</x:v>
      </x:c>
      <x:c r="B11" s="17" t="n">
        <x:v>12</x:v>
      </x:c>
    </x:row>
    <x:row r="12" ht="24" customHeight="1">
      <x:c r="A12" s="16" t="str">
        <x:v>Espécies</x:v>
      </x:c>
      <x:c r="B12" s="17" t="n">
        <x:v>25</x:v>
      </x:c>
    </x:row>
    <x:row r="13" ht="24" customHeight="1">
      <x:c r="A13" s="16" t="str">
        <x:v>Materiais</x:v>
      </x:c>
      <x:c r="B13" s="17" t="n">
        <x:v>22</x:v>
      </x:c>
    </x:row>
    <x:row r="14" ht="24" customHeight="1">
      <x:c r="A14" s="16" t="str">
        <x:v>Casos de teste</x:v>
      </x:c>
      <x:c r="B14" s="17" t="n">
        <x:f>COUNTA('test_cases'!$A$2:$A$200)</x:f>
        <x:v>18</x:v>
      </x:c>
    </x:row>
    <x:row r="15" ht="36" customHeight="1">
      <x:c r="A15" s="16" t="str">
        <x:v>Rastreabilidade</x:v>
      </x:c>
      <x:c r="B15" s="17" t="str">
        <x:v>A aba constant_sources separa o valor efetivo da fonte bibliográfica e do estado de curadoria.</x:v>
      </x:c>
    </x:row>
    <x:row r="16" ht="36" customHeight="1">
      <x:c r="A16" s="16" t="str">
        <x:v>Valores legados</x:v>
      </x:c>
      <x:c r="B16" s="17" t="str">
        <x:v>As constantes anteriores foram preservadas e marcadas como legacy_pending_reference; não foram substituídas sem revisão bibliográfica.</x:v>
      </x:c>
    </x:row>
    <x:row r="17" ht="24" customHeight="1">
      <x:c r="A17" s="16" t="str">
        <x:v>Atualização 1</x:v>
      </x:c>
      <x:c r="B17" s="17" t="str">
        <x:v>Editar primeiro references/constant_sources; depois species e composition.</x:v>
      </x:c>
    </x:row>
    <x:row r="18" ht="24" customHeight="1">
      <x:c r="A18" s="16" t="str">
        <x:v>Atualização 2</x:v>
      </x:c>
      <x:c r="B18" s="17" t="str">
        <x:v>Adicionar materiais somente após definir sua decomposição formal em material_species; material_composition é mantida apenas como registro legado derivado.</x:v>
      </x:c>
    </x:row>
    <x:row r="19" ht="24" customHeight="1">
      <x:c r="A19" s="16" t="str">
        <x:v>Atualização 3</x:v>
      </x:c>
      <x:c r="B19" s="17" t="str">
        <x:v>Executar os casos P0 antes de P1 e P2; então sincronizar o JSON da interface.</x:v>
      </x:c>
    </x:row>
    <x:row r="20" ht="24" customHeight="1">
      <x:c r="A20" s="16" t="str">
        <x:v>Data desta revisão</x:v>
      </x:c>
      <x:c r="B20" s="17" t="str">
        <x:v>2026-08-15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28" hidden="0" customWidth="1"/>
    <x:col min="4" max="4" width="76" hidden="0" customWidth="1"/>
    <x:col min="5" max="5" width="16" hidden="0" customWidth="1"/>
    <x:col min="6" max="6" width="18" hidden="0" customWidth="1"/>
    <x:col min="7" max="7" width="22" hidden="0" customWidth="1"/>
    <x:col min="8" max="8" width="72" hidden="0" customWidth="1"/>
  </x:cols>
  <x:sheetData>
    <x:row r="1" ht="24" customHeight="1">
      <x:c r="A1" s="18" t="str">
        <x:v>reference_id</x:v>
      </x:c>
      <x:c r="B1" s="18" t="str">
        <x:v>title</x:v>
      </x:c>
      <x:c r="C1" s="18" t="str">
        <x:v>organization</x:v>
      </x:c>
      <x:c r="D1" s="18" t="str">
        <x:v>url</x:v>
      </x:c>
      <x:c r="E1" s="18" t="str">
        <x:v>version_or_date</x:v>
      </x:c>
      <x:c r="F1" s="18" t="str">
        <x:v>temperature_c</x:v>
      </x:c>
      <x:c r="G1" s="18" t="str">
        <x:v>ionic_strength_mol_l</x:v>
      </x:c>
      <x:c r="H1" s="18" t="str">
        <x:v>notes</x:v>
      </x:c>
    </x:row>
    <x:row r="2" ht="36" customHeight="1">
      <x:c r="A2" s="18" t="str">
        <x:v>REF_USGS_PHREEQC_2025</x:v>
      </x:c>
      <x:c r="B2" s="18" t="str">
        <x:v>PHREEQC Version 3 e phreeqc.dat</x:v>
      </x:c>
      <x:c r="C2" s="18" t="str">
        <x:v>U.S. Geological Survey</x:v>
      </x:c>
      <x:c r="D2" s="18" t="str">
        <x:v>https://github.com/usgs-coupled/phreeqc3/blob/master/database/phreeqc.dat</x:v>
      </x:c>
      <x:c r="E2" s="18" t="str">
        <x:v>2025-01-07</x:v>
      </x:c>
      <x:c r="F2" s="19" t="n">
        <x:v>25</x:v>
      </x:c>
      <x:c r="G2" s="19" t="n">
        <x:v>0</x:v>
      </x:c>
      <x:c r="H2" s="18" t="str">
        <x:v>Software e versão: https://www.usgs.gov/software/phreeqc-version-3. Usado para Kw e convenções do modelo.</x:v>
      </x:c>
    </x:row>
    <x:row r="3" ht="36" customHeight="1">
      <x:c r="A3" s="18" t="str">
        <x:v>REF_USGS_MINTEQ_2024</x:v>
      </x:c>
      <x:c r="B3" s="18" t="str">
        <x:v>minteq.v4.dat distribuído com PHREEQC 3</x:v>
      </x:c>
      <x:c r="C3" s="18" t="str">
        <x:v>U.S. Geological Survey</x:v>
      </x:c>
      <x:c r="D3" s="18" t="str">
        <x:v>https://github.com/usgs-coupled/phreeqc3/blob/master/database/minteq.v4.dat</x:v>
      </x:c>
      <x:c r="E3" s="18" t="str">
        <x:v>2024-05-17</x:v>
      </x:c>
      <x:c r="F3" s="19" t="n">
        <x:v>25</x:v>
      </x:c>
      <x:c r="G3" s="19" t="n">
        <x:v>0</x:v>
      </x:c>
      <x:c r="H3" s="18" t="str">
        <x:v>Carbonato: IDs 3301400–3301401 (NIST46.4). Fosfato: IDs 3305800–3305802 (NIST46.3).</x:v>
      </x:c>
    </x:row>
    <x:row r="4" ht="36" customHeight="1">
      <x:c r="A4" s="18" t="str">
        <x:v>REF_LEGACY_PROJECT</x:v>
      </x:c>
      <x:c r="B4" s="18" t="str">
        <x:v>Constantes preexistentes do projeto</x:v>
      </x:c>
      <x:c r="C4" s="18" t="str">
        <x:v>Projeto de doutorado</x:v>
      </x:c>
      <x:c r="D4" s="18" t="str"/>
      <x:c r="E4" s="18" t="str">
        <x:v>2026-08-15</x:v>
      </x:c>
      <x:c r="F4" s="19" t="n">
        <x:v>25</x:v>
      </x:c>
      <x:c r="G4" s="19" t="n">
        <x:v>0</x:v>
      </x:c>
      <x:c r="H4" s="18" t="str">
        <x:v>Valores preservados; exigem conferência bibliográfica antes de uso como referência final.</x:v>
      </x:c>
    </x:row>
  </x:sheetData>
  <x:pageMargins left="0.7" right="0.7" top="0.75" bottom="0.75" header="0.3" footer="0.3"/>
  <x:tableParts count="1">
    <x:tablePart xmlns:r="http://schemas.openxmlformats.org/officeDocument/2006/relationships" r:id="Ra62ec569b8d4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2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54" hidden="0" customWidth="1"/>
  </x:cols>
  <x:sheetData>
    <x:row r="1">
      <x:c r="A1" s="17" t="str">
        <x:v>species_id</x:v>
      </x:c>
      <x:c r="B1" s="17" t="str">
        <x:v>reference_id</x:v>
      </x:c>
      <x:c r="C1" s="17" t="str">
        <x:v>source_location</x:v>
      </x:c>
      <x:c r="D1" s="17" t="str">
        <x:v>source_reaction</x:v>
      </x:c>
      <x:c r="E1" s="17" t="str">
        <x:v>source_log_k</x:v>
      </x:c>
      <x:c r="F1" s="17" t="str">
        <x:v>effective_log_beta</x:v>
      </x:c>
      <x:c r="G1" s="17" t="str">
        <x:v>curation_status</x:v>
      </x:c>
      <x:c r="H1" s="17" t="str">
        <x:v>priority_group</x:v>
      </x:c>
      <x:c r="I1" s="17" t="str">
        <x:v>notes</x:v>
      </x:c>
    </x:row>
    <x:row r="2">
      <x:c r="A2" s="17" t="str">
        <x:v>S001</x:v>
      </x:c>
      <x:c r="B2" s="17" t="str">
        <x:v>REF_USGS_PHREEQC_2025</x:v>
      </x:c>
      <x:c r="C2" s="17" t="str">
        <x:v>modelo</x:v>
      </x:c>
      <x:c r="D2" s="17" t="str">
        <x:v>H+ = H+</x:v>
      </x:c>
      <x:c r="E2" s="20" t="n">
        <x:v>0</x:v>
      </x:c>
      <x:c r="F2" s="20" t="n">
        <x:f>'species'!$E$2</x:f>
        <x:v>0</x:v>
      </x:c>
      <x:c r="G2" s="17" t="str">
        <x:v>model_definition</x:v>
      </x:c>
      <x:c r="H2" s="17" t="str">
        <x:v>P0_core</x:v>
      </x:c>
      <x:c r="I2" s="17" t="str">
        <x:v>Componente-base.</x:v>
      </x:c>
    </x:row>
    <x:row r="3">
      <x:c r="A3" s="17" t="str">
        <x:v>S002</x:v>
      </x:c>
      <x:c r="B3" s="17" t="str">
        <x:v>REF_USGS_PHREEQC_2025</x:v>
      </x:c>
      <x:c r="C3" s="17" t="str">
        <x:v>phreeqc.dat</x:v>
      </x:c>
      <x:c r="D3" s="17" t="str">
        <x:v>H2O = OH- + H+</x:v>
      </x:c>
      <x:c r="E3" s="20" t="n">
        <x:v>-14</x:v>
      </x:c>
      <x:c r="F3" s="20" t="n">
        <x:f>'species'!$E$3</x:f>
        <x:v>-14</x:v>
      </x:c>
      <x:c r="G3" s="17" t="str">
        <x:v>reference_verified</x:v>
      </x:c>
      <x:c r="H3" s="17" t="str">
        <x:v>P0_core</x:v>
      </x:c>
      <x:c r="I3" s="17" t="str">
        <x:v>Atividade da água igual a 1.</x:v>
      </x:c>
    </x:row>
    <x:row r="4">
      <x:c r="A4" s="17" t="str">
        <x:v>S003</x:v>
      </x:c>
      <x:c r="B4" s="17" t="str">
        <x:v>REF_LEGACY_PROJECT</x:v>
      </x:c>
      <x:c r="C4" s="17" t="str">
        <x:v>species</x:v>
      </x:c>
      <x:c r="D4" s="17" t="str">
        <x:v>F- = F-</x:v>
      </x:c>
      <x:c r="E4" s="20" t="n">
        <x:v>0</x:v>
      </x:c>
      <x:c r="F4" s="20" t="n">
        <x:f>'species'!$E$4</x:f>
        <x:v>0</x:v>
      </x:c>
      <x:c r="G4" s="17" t="str">
        <x:v>model_definition</x:v>
      </x:c>
      <x:c r="H4" s="17" t="str">
        <x:v>P1_monoprotic</x:v>
      </x:c>
      <x:c r="I4" s="17" t="str">
        <x:v>Componente-base.</x:v>
      </x:c>
    </x:row>
    <x:row r="5">
      <x:c r="A5" s="17" t="str">
        <x:v>S004</x:v>
      </x:c>
      <x:c r="B5" s="17" t="str">
        <x:v>REF_LEGACY_PROJECT</x:v>
      </x:c>
      <x:c r="C5" s="17" t="str">
        <x:v>species</x:v>
      </x:c>
      <x:c r="D5" s="17" t="str">
        <x:v>HF = H+ + F-</x:v>
      </x:c>
      <x:c r="E5" s="20" t="n">
        <x:v>-3.167491</x:v>
      </x:c>
      <x:c r="F5" s="20" t="n">
        <x:f>'species'!$E$5</x:f>
        <x:v>3.167491</x:v>
      </x:c>
      <x:c r="G5" s="17" t="str">
        <x:v>legacy_pending_reference</x:v>
      </x:c>
      <x:c r="H5" s="17" t="str">
        <x:v>P1_monoprotic</x:v>
      </x:c>
      <x:c r="I5" s="17" t="str">
        <x:v>Valor legado preservado.</x:v>
      </x:c>
    </x:row>
    <x:row r="6">
      <x:c r="A6" s="17" t="str">
        <x:v>S005</x:v>
      </x:c>
      <x:c r="B6" s="17" t="str">
        <x:v>REF_LEGACY_PROJECT</x:v>
      </x:c>
      <x:c r="C6" s="17" t="str">
        <x:v>species</x:v>
      </x:c>
      <x:c r="D6" s="17" t="str">
        <x:v>Cl- = Cl-</x:v>
      </x:c>
      <x:c r="E6" s="20" t="n">
        <x:v>0</x:v>
      </x:c>
      <x:c r="F6" s="20" t="n">
        <x:f>'species'!$E$6</x:f>
        <x:v>0</x:v>
      </x:c>
      <x:c r="G6" s="17" t="str">
        <x:v>model_definition</x:v>
      </x:c>
      <x:c r="H6" s="17" t="str">
        <x:v>P0_core</x:v>
      </x:c>
      <x:c r="I6" s="17" t="str">
        <x:v>Íon espectador.</x:v>
      </x:c>
    </x:row>
    <x:row r="7">
      <x:c r="A7" s="17" t="str">
        <x:v>S006</x:v>
      </x:c>
      <x:c r="B7" s="17" t="str">
        <x:v>REF_LEGACY_PROJECT</x:v>
      </x:c>
      <x:c r="C7" s="17" t="str">
        <x:v>species</x:v>
      </x:c>
      <x:c r="D7" s="17" t="str">
        <x:v>NH3 = NH3</x:v>
      </x:c>
      <x:c r="E7" s="20" t="n">
        <x:v>0</x:v>
      </x:c>
      <x:c r="F7" s="20" t="n">
        <x:f>'species'!$E$7</x:f>
        <x:v>0</x:v>
      </x:c>
      <x:c r="G7" s="17" t="str">
        <x:v>model_definition</x:v>
      </x:c>
      <x:c r="H7" s="17" t="str">
        <x:v>P1_monoprotic</x:v>
      </x:c>
      <x:c r="I7" s="17" t="str">
        <x:v>Componente-base.</x:v>
      </x:c>
    </x:row>
    <x:row r="8">
      <x:c r="A8" s="17" t="str">
        <x:v>S007</x:v>
      </x:c>
      <x:c r="B8" s="17" t="str">
        <x:v>REF_LEGACY_PROJECT</x:v>
      </x:c>
      <x:c r="C8" s="17" t="str">
        <x:v>species</x:v>
      </x:c>
      <x:c r="D8" s="17" t="str">
        <x:v>NH4+ = H+ + NH3</x:v>
      </x:c>
      <x:c r="E8" s="20" t="n">
        <x:v>-9.236572</x:v>
      </x:c>
      <x:c r="F8" s="20" t="n">
        <x:f>'species'!$E$8</x:f>
        <x:v>9.236572</x:v>
      </x:c>
      <x:c r="G8" s="17" t="str">
        <x:v>legacy_pending_reference</x:v>
      </x:c>
      <x:c r="H8" s="17" t="str">
        <x:v>P1_monoprotic</x:v>
      </x:c>
      <x:c r="I8" s="17" t="str">
        <x:v>Valor legado preservado.</x:v>
      </x:c>
    </x:row>
    <x:row r="9">
      <x:c r="A9" s="17" t="str">
        <x:v>S008</x:v>
      </x:c>
      <x:c r="B9" s="17" t="str">
        <x:v>REF_LEGACY_PROJECT</x:v>
      </x:c>
      <x:c r="C9" s="17" t="str">
        <x:v>species</x:v>
      </x:c>
      <x:c r="D9" s="17" t="str">
        <x:v>NO3- = NO3-</x:v>
      </x:c>
      <x:c r="E9" s="20" t="n">
        <x:v>0</x:v>
      </x:c>
      <x:c r="F9" s="20" t="n">
        <x:f>'species'!$E$9</x:f>
        <x:v>0</x:v>
      </x:c>
      <x:c r="G9" s="17" t="str">
        <x:v>model_definition</x:v>
      </x:c>
      <x:c r="H9" s="17" t="str">
        <x:v>P0_core</x:v>
      </x:c>
      <x:c r="I9" s="17" t="str">
        <x:v>Íon espectador.</x:v>
      </x:c>
    </x:row>
    <x:row r="10">
      <x:c r="A10" s="17" t="str">
        <x:v>S009</x:v>
      </x:c>
      <x:c r="B10" s="17" t="str">
        <x:v>REF_LEGACY_PROJECT</x:v>
      </x:c>
      <x:c r="C10" s="17" t="str">
        <x:v>species</x:v>
      </x:c>
      <x:c r="D10" s="17" t="str">
        <x:v>Na+ = Na+</x:v>
      </x:c>
      <x:c r="E10" s="20" t="n">
        <x:v>0</x:v>
      </x:c>
      <x:c r="F10" s="20" t="n">
        <x:f>'species'!$E$10</x:f>
        <x:v>0</x:v>
      </x:c>
      <x:c r="G10" s="17" t="str">
        <x:v>model_definition</x:v>
      </x:c>
      <x:c r="H10" s="17" t="str">
        <x:v>P0_core</x:v>
      </x:c>
      <x:c r="I10" s="17" t="str">
        <x:v>Íon espectador.</x:v>
      </x:c>
    </x:row>
    <x:row r="11">
      <x:c r="A11" s="17" t="str">
        <x:v>S010</x:v>
      </x:c>
      <x:c r="B11" s="17" t="str">
        <x:v>REF_LEGACY_PROJECT</x:v>
      </x:c>
      <x:c r="C11" s="17" t="str">
        <x:v>species</x:v>
      </x:c>
      <x:c r="D11" s="17" t="str">
        <x:v>SO4-2 = SO4-2</x:v>
      </x:c>
      <x:c r="E11" s="20" t="n">
        <x:v>0</x:v>
      </x:c>
      <x:c r="F11" s="20" t="n">
        <x:f>'species'!$E$11</x:f>
        <x:v>0</x:v>
      </x:c>
      <x:c r="G11" s="17" t="str">
        <x:v>model_definition</x:v>
      </x:c>
      <x:c r="H11" s="17" t="str">
        <x:v>P1_polyprotic</x:v>
      </x:c>
      <x:c r="I11" s="17" t="str">
        <x:v>Componente-base.</x:v>
      </x:c>
    </x:row>
    <x:row r="12">
      <x:c r="A12" s="17" t="str">
        <x:v>S011</x:v>
      </x:c>
      <x:c r="B12" s="17" t="str">
        <x:v>REF_LEGACY_PROJECT</x:v>
      </x:c>
      <x:c r="C12" s="17" t="str">
        <x:v>species</x:v>
      </x:c>
      <x:c r="D12" s="17" t="str">
        <x:v>HSO4- = H+ + SO4-2</x:v>
      </x:c>
      <x:c r="E12" s="20" t="n">
        <x:v>-1.920819</x:v>
      </x:c>
      <x:c r="F12" s="20" t="n">
        <x:f>'species'!$E$12</x:f>
        <x:v>1.920819</x:v>
      </x:c>
      <x:c r="G12" s="17" t="str">
        <x:v>legacy_pending_reference</x:v>
      </x:c>
      <x:c r="H12" s="17" t="str">
        <x:v>P1_polyprotic</x:v>
      </x:c>
      <x:c r="I12" s="17" t="str">
        <x:v>Valor legado preservado.</x:v>
      </x:c>
    </x:row>
    <x:row r="13">
      <x:c r="A13" s="17" t="str">
        <x:v>S012</x:v>
      </x:c>
      <x:c r="B13" s="17" t="str">
        <x:v>REF_LEGACY_PROJECT</x:v>
      </x:c>
      <x:c r="C13" s="17" t="str">
        <x:v>species</x:v>
      </x:c>
      <x:c r="D13" s="17" t="str">
        <x:v>CH3COO- = CH3COO-</x:v>
      </x:c>
      <x:c r="E13" s="20" t="n">
        <x:v>0</x:v>
      </x:c>
      <x:c r="F13" s="20" t="n">
        <x:f>'species'!$E$13</x:f>
        <x:v>0</x:v>
      </x:c>
      <x:c r="G13" s="17" t="str">
        <x:v>model_definition</x:v>
      </x:c>
      <x:c r="H13" s="17" t="str">
        <x:v>P1_monoprotic</x:v>
      </x:c>
      <x:c r="I13" s="17" t="str">
        <x:v>Componente-base.</x:v>
      </x:c>
    </x:row>
    <x:row r="14">
      <x:c r="A14" s="17" t="str">
        <x:v>S013</x:v>
      </x:c>
      <x:c r="B14" s="17" t="str">
        <x:v>REF_LEGACY_PROJECT</x:v>
      </x:c>
      <x:c r="C14" s="17" t="str">
        <x:v>species</x:v>
      </x:c>
      <x:c r="D14" s="17" t="str">
        <x:v>CH3COOH = H+ + CH3COO-</x:v>
      </x:c>
      <x:c r="E14" s="20" t="n">
        <x:v>-4.754487</x:v>
      </x:c>
      <x:c r="F14" s="20" t="n">
        <x:f>'species'!$E$14</x:f>
        <x:v>4.754487</x:v>
      </x:c>
      <x:c r="G14" s="17" t="str">
        <x:v>legacy_pending_reference</x:v>
      </x:c>
      <x:c r="H14" s="17" t="str">
        <x:v>P1_monoprotic</x:v>
      </x:c>
      <x:c r="I14" s="17" t="str">
        <x:v>Valor legado preservado.</x:v>
      </x:c>
    </x:row>
    <x:row r="15">
      <x:c r="A15" s="17" t="str">
        <x:v>S014</x:v>
      </x:c>
      <x:c r="B15" s="17" t="str">
        <x:v>REF_LEGACY_PROJECT</x:v>
      </x:c>
      <x:c r="C15" s="17" t="str">
        <x:v>species</x:v>
      </x:c>
      <x:c r="D15" s="17" t="str">
        <x:v>Cit-3 = Cit-3</x:v>
      </x:c>
      <x:c r="E15" s="20" t="n">
        <x:v>0</x:v>
      </x:c>
      <x:c r="F15" s="20" t="n">
        <x:f>'species'!$E$15</x:f>
        <x:v>0</x:v>
      </x:c>
      <x:c r="G15" s="17" t="str">
        <x:v>model_definition</x:v>
      </x:c>
      <x:c r="H15" s="17" t="str">
        <x:v>P1_polyprotic</x:v>
      </x:c>
      <x:c r="I15" s="17" t="str">
        <x:v>Componente-base.</x:v>
      </x:c>
    </x:row>
    <x:row r="16">
      <x:c r="A16" s="17" t="str">
        <x:v>S015</x:v>
      </x:c>
      <x:c r="B16" s="17" t="str">
        <x:v>REF_LEGACY_PROJECT</x:v>
      </x:c>
      <x:c r="C16" s="17" t="str">
        <x:v>species</x:v>
      </x:c>
      <x:c r="D16" s="17" t="str">
        <x:v>HCit-2 = H+ + Cit-3</x:v>
      </x:c>
      <x:c r="E16" s="20" t="n">
        <x:v>-6.396</x:v>
      </x:c>
      <x:c r="F16" s="20" t="n">
        <x:f>'species'!$E$16</x:f>
        <x:v>6.396</x:v>
      </x:c>
      <x:c r="G16" s="17" t="str">
        <x:v>legacy_pending_reference</x:v>
      </x:c>
      <x:c r="H16" s="17" t="str">
        <x:v>P1_polyprotic</x:v>
      </x:c>
      <x:c r="I16" s="17" t="str">
        <x:v>Valor legado preservado.</x:v>
      </x:c>
    </x:row>
    <x:row r="17">
      <x:c r="A17" s="17" t="str">
        <x:v>S016</x:v>
      </x:c>
      <x:c r="B17" s="17" t="str">
        <x:v>REF_LEGACY_PROJECT</x:v>
      </x:c>
      <x:c r="C17" s="17" t="str">
        <x:v>species</x:v>
      </x:c>
      <x:c r="D17" s="17" t="str">
        <x:v>H2Cit- = 2 H+ + Cit-3</x:v>
      </x:c>
      <x:c r="E17" s="20"/>
      <x:c r="F17" s="20" t="n">
        <x:f>'species'!$E$17</x:f>
        <x:v>11.157</x:v>
      </x:c>
      <x:c r="G17" s="17" t="str">
        <x:v>legacy_pending_reference</x:v>
      </x:c>
      <x:c r="H17" s="17" t="str">
        <x:v>P1_polyprotic</x:v>
      </x:c>
      <x:c r="I17" s="17" t="str">
        <x:v>Constante cumulativa legada.</x:v>
      </x:c>
    </x:row>
    <x:row r="18">
      <x:c r="A18" s="17" t="str">
        <x:v>S017</x:v>
      </x:c>
      <x:c r="B18" s="17" t="str">
        <x:v>REF_LEGACY_PROJECT</x:v>
      </x:c>
      <x:c r="C18" s="17" t="str">
        <x:v>species</x:v>
      </x:c>
      <x:c r="D18" s="17" t="str">
        <x:v>H3Cit = 3 H+ + Cit-3</x:v>
      </x:c>
      <x:c r="E18" s="20"/>
      <x:c r="F18" s="20" t="n">
        <x:f>'species'!$E$18</x:f>
        <x:v>14.285</x:v>
      </x:c>
      <x:c r="G18" s="17" t="str">
        <x:v>legacy_pending_reference</x:v>
      </x:c>
      <x:c r="H18" s="17" t="str">
        <x:v>P1_polyprotic</x:v>
      </x:c>
      <x:c r="I18" s="17" t="str">
        <x:v>Constante cumulativa legada.</x:v>
      </x:c>
    </x:row>
    <x:row r="19">
      <x:c r="A19" s="17" t="str">
        <x:v>S018</x:v>
      </x:c>
      <x:c r="B19" s="17" t="str">
        <x:v>REF_USGS_MINTEQ_2024</x:v>
      </x:c>
      <x:c r="C19" s="17" t="str">
        <x:v>minteq.v4.dat</x:v>
      </x:c>
      <x:c r="D19" s="17" t="str">
        <x:v>CO3-2 = CO3-2</x:v>
      </x:c>
      <x:c r="E19" s="20" t="n">
        <x:v>0</x:v>
      </x:c>
      <x:c r="F19" s="20" t="n">
        <x:f>'species'!$E$19</x:f>
        <x:v>0</x:v>
      </x:c>
      <x:c r="G19" s="17" t="str">
        <x:v>model_definition</x:v>
      </x:c>
      <x:c r="H19" s="17" t="str">
        <x:v>P1_polyprotic</x:v>
      </x:c>
      <x:c r="I19" s="17" t="str">
        <x:v>Componente-base; sistema fechado.</x:v>
      </x:c>
    </x:row>
    <x:row r="20">
      <x:c r="A20" s="17" t="str">
        <x:v>S019</x:v>
      </x:c>
      <x:c r="B20" s="17" t="str">
        <x:v>REF_USGS_MINTEQ_2024</x:v>
      </x:c>
      <x:c r="C20" s="17" t="str">
        <x:v>ID 3301400</x:v>
      </x:c>
      <x:c r="D20" s="17" t="str">
        <x:v>H+ + CO3-2 = HCO3-</x:v>
      </x:c>
      <x:c r="E20" s="20" t="n">
        <x:v>10.329</x:v>
      </x:c>
      <x:c r="F20" s="20" t="n">
        <x:f>'species'!$E$20</x:f>
        <x:v>10.329</x:v>
      </x:c>
      <x:c r="G20" s="17" t="str">
        <x:v>reference_verified</x:v>
      </x:c>
      <x:c r="H20" s="17" t="str">
        <x:v>P1_polyprotic</x:v>
      </x:c>
      <x:c r="I20" s="17" t="str">
        <x:v>NIST46.4; I = 0 mol/L; 25 °C.</x:v>
      </x:c>
    </x:row>
    <x:row r="21">
      <x:c r="A21" s="17" t="str">
        <x:v>S020</x:v>
      </x:c>
      <x:c r="B21" s="17" t="str">
        <x:v>REF_USGS_MINTEQ_2024</x:v>
      </x:c>
      <x:c r="C21" s="17" t="str">
        <x:v>ID 3301401</x:v>
      </x:c>
      <x:c r="D21" s="17" t="str">
        <x:v>2 H+ + CO3-2 = H2CO3</x:v>
      </x:c>
      <x:c r="E21" s="20" t="n">
        <x:v>16.681</x:v>
      </x:c>
      <x:c r="F21" s="20" t="n">
        <x:f>'species'!$E$21</x:f>
        <x:v>16.681</x:v>
      </x:c>
      <x:c r="G21" s="17" t="str">
        <x:v>reference_verified</x:v>
      </x:c>
      <x:c r="H21" s="17" t="str">
        <x:v>P1_polyprotic</x:v>
      </x:c>
      <x:c r="I21" s="17" t="str">
        <x:v>NIST46.4; I = 0 mol/L; 25 °C.</x:v>
      </x:c>
    </x:row>
    <x:row r="22">
      <x:c r="A22" s="17" t="str">
        <x:v>S021</x:v>
      </x:c>
      <x:c r="B22" s="17" t="str">
        <x:v>REF_USGS_MINTEQ_2024</x:v>
      </x:c>
      <x:c r="C22" s="17" t="str">
        <x:v>minteq.v4.dat</x:v>
      </x:c>
      <x:c r="D22" s="17" t="str">
        <x:v>PO4-3 = PO4-3</x:v>
      </x:c>
      <x:c r="E22" s="20" t="n">
        <x:v>0</x:v>
      </x:c>
      <x:c r="F22" s="20" t="n">
        <x:f>'species'!$E$22</x:f>
        <x:v>0</x:v>
      </x:c>
      <x:c r="G22" s="17" t="str">
        <x:v>model_definition</x:v>
      </x:c>
      <x:c r="H22" s="17" t="str">
        <x:v>P1_polyprotic</x:v>
      </x:c>
      <x:c r="I22" s="17" t="str">
        <x:v>Componente-base.</x:v>
      </x:c>
    </x:row>
    <x:row r="23">
      <x:c r="A23" s="17" t="str">
        <x:v>S022</x:v>
      </x:c>
      <x:c r="B23" s="17" t="str">
        <x:v>REF_USGS_MINTEQ_2024</x:v>
      </x:c>
      <x:c r="C23" s="17" t="str">
        <x:v>ID 3305800</x:v>
      </x:c>
      <x:c r="D23" s="17" t="str">
        <x:v>H+ + PO4-3 = HPO4-2</x:v>
      </x:c>
      <x:c r="E23" s="20" t="n">
        <x:v>12.375</x:v>
      </x:c>
      <x:c r="F23" s="20" t="n">
        <x:f>'species'!$E$23</x:f>
        <x:v>12.375</x:v>
      </x:c>
      <x:c r="G23" s="17" t="str">
        <x:v>reference_verified</x:v>
      </x:c>
      <x:c r="H23" s="17" t="str">
        <x:v>P1_polyprotic</x:v>
      </x:c>
      <x:c r="I23" s="17" t="str">
        <x:v>NIST46.3; I = 0 mol/L; 25 °C.</x:v>
      </x:c>
    </x:row>
    <x:row r="24">
      <x:c r="A24" s="17" t="str">
        <x:v>S023</x:v>
      </x:c>
      <x:c r="B24" s="17" t="str">
        <x:v>REF_USGS_MINTEQ_2024</x:v>
      </x:c>
      <x:c r="C24" s="17" t="str">
        <x:v>ID 3305801</x:v>
      </x:c>
      <x:c r="D24" s="17" t="str">
        <x:v>2 H+ + PO4-3 = H2PO4-</x:v>
      </x:c>
      <x:c r="E24" s="20" t="n">
        <x:v>19.573</x:v>
      </x:c>
      <x:c r="F24" s="20" t="n">
        <x:f>'species'!$E$24</x:f>
        <x:v>19.573</x:v>
      </x:c>
      <x:c r="G24" s="17" t="str">
        <x:v>reference_verified</x:v>
      </x:c>
      <x:c r="H24" s="17" t="str">
        <x:v>P1_polyprotic</x:v>
      </x:c>
      <x:c r="I24" s="17" t="str">
        <x:v>NIST46.3; I = 0 mol/L; 25 °C.</x:v>
      </x:c>
    </x:row>
    <x:row r="25">
      <x:c r="A25" s="17" t="str">
        <x:v>S024</x:v>
      </x:c>
      <x:c r="B25" s="17" t="str">
        <x:v>REF_USGS_MINTEQ_2024</x:v>
      </x:c>
      <x:c r="C25" s="17" t="str">
        <x:v>ID 3305802</x:v>
      </x:c>
      <x:c r="D25" s="17" t="str">
        <x:v>3 H+ + PO4-3 = H3PO4</x:v>
      </x:c>
      <x:c r="E25" s="20" t="n">
        <x:v>21.721</x:v>
      </x:c>
      <x:c r="F25" s="20" t="n">
        <x:f>'species'!$E$25</x:f>
        <x:v>21.721</x:v>
      </x:c>
      <x:c r="G25" s="17" t="str">
        <x:v>reference_verified</x:v>
      </x:c>
      <x:c r="H25" s="17" t="str">
        <x:v>P1_polyprotic</x:v>
      </x:c>
      <x:c r="I25" s="17" t="str">
        <x:v>NIST46.3; I = 0 mol/L; 25 °C.</x:v>
      </x:c>
    </x:row>
    <x:row r="26">
      <x:c r="A26" t="str">
        <x:v>S025</x:v>
      </x:c>
      <x:c r="B26" t="str">
        <x:v>REF_LEGACY_PROJECT</x:v>
      </x:c>
      <x:c r="C26" t="str">
        <x:v>species</x:v>
      </x:c>
      <x:c r="D26" t="str">
        <x:v>Br- = Br-</x:v>
      </x:c>
      <x:c r="E26" s="35" t="n">
        <x:v>0</x:v>
      </x:c>
      <x:c r="F26" s="35" t="n">
        <x:v>0</x:v>
      </x:c>
      <x:c r="G26" t="str">
        <x:v>model_definition</x:v>
      </x:c>
      <x:c r="H26" t="str">
        <x:v>P0_core</x:v>
      </x:c>
      <x:c r="I26" t="str">
        <x:v>Íon espectador; componente-base.</x:v>
      </x:c>
    </x:row>
  </x:sheetData>
  <x:pageMargins left="0.7" right="0.7" top="0.75" bottom="0.75" header="0.3" footer="0.3"/>
  <x:tableParts count="1">
    <x:tablePart xmlns:r="http://schemas.openxmlformats.org/officeDocument/2006/relationships" r:id="R2f5b4c0a36f643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2" hidden="0" customWidth="1"/>
    <x:col min="5" max="5" width="34" hidden="0" customWidth="1"/>
    <x:col min="6" max="6" width="54" hidden="0" customWidth="1"/>
    <x:col min="7" max="7" width="24" hidden="0" customWidth="1"/>
    <x:col min="8" max="8" width="18" hidden="0" customWidth="1"/>
    <x:col min="9" max="9" width="18" hidden="0" customWidth="1"/>
    <x:col min="10" max="10" width="44" hidden="0" customWidth="1"/>
    <x:col min="11" max="11" width="10" hidden="0" customWidth="1"/>
    <x:col min="12" max="12" width="58" hidden="0" customWidth="1"/>
  </x:cols>
  <x:sheetData>
    <x:row r="1">
      <x:c r="A1" s="17" t="str">
        <x:v>test_id</x:v>
      </x:c>
      <x:c r="B1" s="17" t="str">
        <x:v>priority</x:v>
      </x:c>
      <x:c r="C1" s="17" t="str">
        <x:v>execution_mode</x:v>
      </x:c>
      <x:c r="D1" s="17" t="str">
        <x:v>category</x:v>
      </x:c>
      <x:c r="E1" s="17" t="str">
        <x:v>name</x:v>
      </x:c>
      <x:c r="F1" s="17" t="str">
        <x:v>purpose</x:v>
      </x:c>
      <x:c r="G1" s="17" t="str">
        <x:v>expected_metric</x:v>
      </x:c>
      <x:c r="H1" s="17" t="str">
        <x:v>expected_value</x:v>
      </x:c>
      <x:c r="I1" s="17" t="str">
        <x:v>absolute_tolerance</x:v>
      </x:c>
      <x:c r="J1" s="17" t="str">
        <x:v>expected_basis</x:v>
      </x:c>
      <x:c r="K1" s="17" t="str">
        <x:v>active</x:v>
      </x:c>
      <x:c r="L1" s="17" t="str">
        <x:v>notes</x:v>
      </x:c>
    </x:row>
    <x:row r="2">
      <x:c r="A2" s="17" t="str">
        <x:v>T001</x:v>
      </x:c>
      <x:c r="B2" s="17" t="str">
        <x:v>P0</x:v>
      </x:c>
      <x:c r="C2" s="17" t="str">
        <x:v>explicit</x:v>
      </x:c>
      <x:c r="D2" s="17" t="str">
        <x:v>water</x:v>
      </x:c>
      <x:c r="E2" s="17" t="str">
        <x:v>Água pura</x:v>
      </x:c>
      <x:c r="F2" s="17" t="str">
        <x:v>Validar Kw e neutralidade sem componentes de massa.</x:v>
      </x:c>
      <x:c r="G2" s="17" t="str">
        <x:v>pH</x:v>
      </x:c>
      <x:c r="H2" s="20" t="n">
        <x:v>7</x:v>
      </x:c>
      <x:c r="I2" s="23" t="n">
        <x:v>1e-10</x:v>
      </x:c>
      <x:c r="J2" s="17" t="str">
        <x:v>Kw = 1e-14</x:v>
      </x:c>
      <x:c r="K2" s="22" t="b">
        <x:v>1</x:v>
      </x:c>
      <x:c r="L2" s="17" t="str">
        <x:v>Sem linhas em test_inputs.</x:v>
      </x:c>
    </x:row>
    <x:row r="3">
      <x:c r="A3" s="17" t="str">
        <x:v>T002</x:v>
      </x:c>
      <x:c r="B3" s="17" t="str">
        <x:v>P0</x:v>
      </x:c>
      <x:c r="C3" s="17" t="str">
        <x:v>explicit</x:v>
      </x:c>
      <x:c r="D3" s="17" t="str">
        <x:v>strong_limit</x:v>
      </x:c>
      <x:c r="E3" s="17" t="str">
        <x:v>Ácido forte 0,1 M</x:v>
      </x:c>
      <x:c r="F3" s="17" t="str">
        <x:v>Validar limite ácido forte.</x:v>
      </x:c>
      <x:c r="G3" s="17" t="str">
        <x:v>pH</x:v>
      </x:c>
      <x:c r="H3" s="20" t="n">
        <x:v>1</x:v>
      </x:c>
      <x:c r="I3" s="23" t="n">
        <x:v>1e-10</x:v>
      </x:c>
      <x:c r="J3" s="17" t="str">
        <x:v>HCl totalmente dissociado</x:v>
      </x:c>
      <x:c r="K3" s="22" t="b">
        <x:v>1</x:v>
      </x:c>
      <x:c r="L3" s="17" t="str"/>
    </x:row>
    <x:row r="4">
      <x:c r="A4" s="17" t="str">
        <x:v>T003</x:v>
      </x:c>
      <x:c r="B4" s="17" t="str">
        <x:v>P0</x:v>
      </x:c>
      <x:c r="C4" s="17" t="str">
        <x:v>explicit</x:v>
      </x:c>
      <x:c r="D4" s="17" t="str">
        <x:v>strong_limit</x:v>
      </x:c>
      <x:c r="E4" s="17" t="str">
        <x:v>Base forte 0,1 M</x:v>
      </x:c>
      <x:c r="F4" s="17" t="str">
        <x:v>Validar limite básico forte.</x:v>
      </x:c>
      <x:c r="G4" s="17" t="str">
        <x:v>pH</x:v>
      </x:c>
      <x:c r="H4" s="20" t="n">
        <x:v>13</x:v>
      </x:c>
      <x:c r="I4" s="23" t="n">
        <x:v>1e-10</x:v>
      </x:c>
      <x:c r="J4" s="17" t="str">
        <x:v>NaOH totalmente dissociado</x:v>
      </x:c>
      <x:c r="K4" s="22" t="b">
        <x:v>1</x:v>
      </x:c>
      <x:c r="L4" s="17" t="str"/>
    </x:row>
    <x:row r="5">
      <x:c r="A5" s="17" t="str">
        <x:v>T004</x:v>
      </x:c>
      <x:c r="B5" s="17" t="str">
        <x:v>P0</x:v>
      </x:c>
      <x:c r="C5" s="17" t="str">
        <x:v>explicit</x:v>
      </x:c>
      <x:c r="D5" s="17" t="str">
        <x:v>neutralization</x:v>
      </x:c>
      <x:c r="E5" s="17" t="str">
        <x:v>Ácido/base fortes equimolares</x:v>
      </x:c>
      <x:c r="F5" s="17" t="str">
        <x:v>Validar retorno à neutralidade.</x:v>
      </x:c>
      <x:c r="G5" s="17" t="str">
        <x:v>pH</x:v>
      </x:c>
      <x:c r="H5" s="20" t="n">
        <x:v>7</x:v>
      </x:c>
      <x:c r="I5" s="23" t="n">
        <x:v>1e-10</x:v>
      </x:c>
      <x:c r="J5" s="17" t="str">
        <x:v>[Na+] analítica = [Cl-] analítica</x:v>
      </x:c>
      <x:c r="K5" s="22" t="b">
        <x:v>1</x:v>
      </x:c>
      <x:c r="L5" s="17" t="str">
        <x:v>Não representa uma titulação; é uma composição final.</x:v>
      </x:c>
    </x:row>
    <x:row r="6">
      <x:c r="A6" s="17" t="str">
        <x:v>T005</x:v>
      </x:c>
      <x:c r="B6" s="17" t="str">
        <x:v>P0</x:v>
      </x:c>
      <x:c r="C6" s="17" t="str">
        <x:v>explicit</x:v>
      </x:c>
      <x:c r="D6" s="17" t="str">
        <x:v>buffer</x:v>
      </x:c>
      <x:c r="E6" s="17" t="str">
        <x:v>Acetato meia-neutralização</x:v>
      </x:c>
      <x:c r="F6" s="17" t="str">
        <x:v>Validar Henderson–Hasselbalch no ponto 1:1.</x:v>
      </x:c>
      <x:c r="G6" s="17" t="str">
        <x:v>pH</x:v>
      </x:c>
      <x:c r="H6" s="20" t="n">
        <x:f>'species'!$E$14</x:f>
        <x:v>4.754487</x:v>
      </x:c>
      <x:c r="I6" s="23" t="n">
        <x:v>0.005</x:v>
      </x:c>
      <x:c r="J6" s="17" t="str">
        <x:v>pH = pKa do ácido acético</x:v>
      </x:c>
      <x:c r="K6" s="22" t="b">
        <x:v>1</x:v>
      </x:c>
      <x:c r="L6" s="17" t="str"/>
    </x:row>
    <x:row r="7">
      <x:c r="A7" s="17" t="str">
        <x:v>T006</x:v>
      </x:c>
      <x:c r="B7" s="17" t="str">
        <x:v>P0</x:v>
      </x:c>
      <x:c r="C7" s="17" t="str">
        <x:v>explicit</x:v>
      </x:c>
      <x:c r="D7" s="17" t="str">
        <x:v>buffer</x:v>
      </x:c>
      <x:c r="E7" s="17" t="str">
        <x:v>Amônia/amônio 1:1</x:v>
      </x:c>
      <x:c r="F7" s="17" t="str">
        <x:v>Validar tampão de base fraca/ácido conjugado.</x:v>
      </x:c>
      <x:c r="G7" s="17" t="str">
        <x:v>pH</x:v>
      </x:c>
      <x:c r="H7" s="20" t="n">
        <x:f>'species'!$E$8</x:f>
        <x:v>9.236572</x:v>
      </x:c>
      <x:c r="I7" s="23" t="n">
        <x:v>0.005</x:v>
      </x:c>
      <x:c r="J7" s="17" t="str">
        <x:v>pH = pKa do NH4+</x:v>
      </x:c>
      <x:c r="K7" s="22" t="b">
        <x:v>1</x:v>
      </x:c>
      <x:c r="L7" s="17" t="str"/>
    </x:row>
    <x:row r="8">
      <x:c r="A8" s="17" t="str">
        <x:v>T007</x:v>
      </x:c>
      <x:c r="B8" s="17" t="str">
        <x:v>P1</x:v>
      </x:c>
      <x:c r="C8" s="17" t="str">
        <x:v>explicit</x:v>
      </x:c>
      <x:c r="D8" s="17" t="str">
        <x:v>buffer</x:v>
      </x:c>
      <x:c r="E8" s="17" t="str">
        <x:v>H2CO3/HCO3- 1:1</x:v>
      </x:c>
      <x:c r="F8" s="17" t="str">
        <x:v>Validar primeiro par tampão do carbonato.</x:v>
      </x:c>
      <x:c r="G8" s="17" t="str">
        <x:v>pH</x:v>
      </x:c>
      <x:c r="H8" s="20" t="n">
        <x:f>'species'!$E$21-'species'!$E$20</x:f>
        <x:v>6.352</x:v>
      </x:c>
      <x:c r="I8" s="23" t="n">
        <x:v>0.005</x:v>
      </x:c>
      <x:c r="J8" s="17" t="str">
        <x:v>pKa1 = logβ2 - logβ1</x:v>
      </x:c>
      <x:c r="K8" s="22" t="b">
        <x:v>1</x:v>
      </x:c>
      <x:c r="L8" s="17" t="str">
        <x:v>Sistema fechado, sem CO2(g).</x:v>
      </x:c>
    </x:row>
    <x:row r="9">
      <x:c r="A9" s="17" t="str">
        <x:v>T008</x:v>
      </x:c>
      <x:c r="B9" s="17" t="str">
        <x:v>P1</x:v>
      </x:c>
      <x:c r="C9" s="17" t="str">
        <x:v>explicit</x:v>
      </x:c>
      <x:c r="D9" s="17" t="str">
        <x:v>ampholyte</x:v>
      </x:c>
      <x:c r="E9" s="17" t="str">
        <x:v>Bicarbonato anfiprótico</x:v>
      </x:c>
      <x:c r="F9" s="17" t="str">
        <x:v>Validar espécie intermediária diprótica.</x:v>
      </x:c>
      <x:c r="G9" s="17" t="str">
        <x:v>pH</x:v>
      </x:c>
      <x:c r="H9" s="20" t="n">
        <x:f>'species'!$E$21/2</x:f>
        <x:v>8.3405</x:v>
      </x:c>
      <x:c r="I9" s="23" t="n">
        <x:v>0.05</x:v>
      </x:c>
      <x:c r="J9" s="17" t="str">
        <x:v>pH ≈ (pKa1 + pKa2)/2</x:v>
      </x:c>
      <x:c r="K9" s="22" t="b">
        <x:v>1</x:v>
      </x:c>
      <x:c r="L9" s="17" t="str">
        <x:v>Tolerância ampliada pela autoionização da água.</x:v>
      </x:c>
    </x:row>
    <x:row r="10">
      <x:c r="A10" s="17" t="str">
        <x:v>T009</x:v>
      </x:c>
      <x:c r="B10" s="17" t="str">
        <x:v>P1</x:v>
      </x:c>
      <x:c r="C10" s="17" t="str">
        <x:v>explicit</x:v>
      </x:c>
      <x:c r="D10" s="17" t="str">
        <x:v>buffer_limit</x:v>
      </x:c>
      <x:c r="E10" s="17" t="str">
        <x:v>Fosfato 1:1 — limite de alta capacidade</x:v>
      </x:c>
      <x:c r="F10" s="17" t="str">
        <x:v>Validar a aproximação ao pKa1 quando a capacidade do tampão domina H+ livre.</x:v>
      </x:c>
      <x:c r="G10" s="17" t="str">
        <x:v>pH</x:v>
      </x:c>
      <x:c r="H10" s="20" t="n">
        <x:f>'species'!$E$25-'species'!$E$24</x:f>
        <x:v>2.1479999999999997</x:v>
      </x:c>
      <x:c r="I10" s="23" t="n">
        <x:v>0.01</x:v>
      </x:c>
      <x:c r="J10" s="17" t="str">
        <x:v>pH → pKa1 = logβ3 - logβ2</x:v>
      </x:c>
      <x:c r="K10" s="22" t="b">
        <x:v>1</x:v>
      </x:c>
      <x:c r="L10" s="17" t="str">
        <x:v>Caso numérico a 2 mol/L de fosfato total; não é recomendação experimental para solução ideal.</x:v>
      </x:c>
    </x:row>
    <x:row r="11">
      <x:c r="A11" s="17" t="str">
        <x:v>T010</x:v>
      </x:c>
      <x:c r="B11" s="17" t="str">
        <x:v>P1</x:v>
      </x:c>
      <x:c r="C11" s="17" t="str">
        <x:v>explicit</x:v>
      </x:c>
      <x:c r="D11" s="17" t="str">
        <x:v>buffer</x:v>
      </x:c>
      <x:c r="E11" s="17" t="str">
        <x:v>H2PO4-/HPO4-2 1:1</x:v>
      </x:c>
      <x:c r="F11" s="17" t="str">
        <x:v>Validar segundo par tampão do fosfato.</x:v>
      </x:c>
      <x:c r="G11" s="17" t="str">
        <x:v>pH</x:v>
      </x:c>
      <x:c r="H11" s="20" t="n">
        <x:f>'species'!$E$24-'species'!$E$23</x:f>
        <x:v>7.198</x:v>
      </x:c>
      <x:c r="I11" s="23" t="n">
        <x:v>0.005</x:v>
      </x:c>
      <x:c r="J11" s="17" t="str">
        <x:v>pKa2 = logβ2 - logβ1</x:v>
      </x:c>
      <x:c r="K11" s="22" t="b">
        <x:v>1</x:v>
      </x:c>
      <x:c r="L11" s="17" t="str"/>
    </x:row>
    <x:row r="12">
      <x:c r="A12" s="17" t="str">
        <x:v>T011</x:v>
      </x:c>
      <x:c r="B12" s="17" t="str">
        <x:v>P1</x:v>
      </x:c>
      <x:c r="C12" s="17" t="str">
        <x:v>explicit</x:v>
      </x:c>
      <x:c r="D12" s="17" t="str">
        <x:v>ampholyte</x:v>
      </x:c>
      <x:c r="E12" s="17" t="str">
        <x:v>HPO4-2 anfiprótico a 0,1 M</x:v>
      </x:c>
      <x:c r="F12" s="17" t="str">
        <x:v>Validar espécie intermediária triprótica.</x:v>
      </x:c>
      <x:c r="G12" s="17" t="str">
        <x:v>pH</x:v>
      </x:c>
      <x:c r="H12" s="20" t="n">
        <x:f>'species'!$E$24/2</x:f>
        <x:v>9.7865</x:v>
      </x:c>
      <x:c r="I12" s="23" t="n">
        <x:v>0.05</x:v>
      </x:c>
      <x:c r="J12" s="17" t="str">
        <x:v>pH ≈ (pKa2 + pKa3)/2</x:v>
      </x:c>
      <x:c r="K12" s="22" t="b">
        <x:v>1</x:v>
      </x:c>
      <x:c r="L12" s="17" t="str">
        <x:v>A expressão é uma aproximação; a tolerância inclui água e espécies adjacentes.</x:v>
      </x:c>
    </x:row>
    <x:row r="13">
      <x:c r="A13" s="17" t="str">
        <x:v>T012</x:v>
      </x:c>
      <x:c r="B13" s="17" t="str">
        <x:v>P1</x:v>
      </x:c>
      <x:c r="C13" s="17" t="str">
        <x:v>explicit</x:v>
      </x:c>
      <x:c r="D13" s="17" t="str">
        <x:v>polyprotic</x:v>
      </x:c>
      <x:c r="E13" s="17" t="str">
        <x:v>Citrato meia-neutralização a 0,1 M</x:v>
      </x:c>
      <x:c r="F13" s="17" t="str">
        <x:v>Validar o primeiro degrau do ácido cítrico.</x:v>
      </x:c>
      <x:c r="G13" s="17" t="str">
        <x:v>pH</x:v>
      </x:c>
      <x:c r="H13" s="20" t="n">
        <x:f>'species'!$E$18-'species'!$E$17</x:f>
        <x:v>3.128</x:v>
      </x:c>
      <x:c r="I13" s="23" t="n">
        <x:v>0.02</x:v>
      </x:c>
      <x:c r="J13" s="17" t="str">
        <x:v>pH ≈ pKa1 do citrato</x:v>
      </x:c>
      <x:c r="K13" s="22" t="b">
        <x:v>1</x:v>
      </x:c>
      <x:c r="L13" s="17" t="str">
        <x:v>Usa constante legada pendente de referência; aproximação com capacidade finita.</x:v>
      </x:c>
    </x:row>
    <x:row r="14">
      <x:c r="A14" s="17" t="str">
        <x:v>T013</x:v>
      </x:c>
      <x:c r="B14" s="17" t="str">
        <x:v>P1</x:v>
      </x:c>
      <x:c r="C14" s="17" t="str">
        <x:v>explicit</x:v>
      </x:c>
      <x:c r="D14" s="17" t="str">
        <x:v>buffer</x:v>
      </x:c>
      <x:c r="E14" s="17" t="str">
        <x:v>Ácido acético/acetato 1:1</x:v>
      </x:c>
      <x:c r="F14" s="17" t="str">
        <x:v>Validar material salino conjugado.</x:v>
      </x:c>
      <x:c r="G14" s="17" t="str">
        <x:v>pH</x:v>
      </x:c>
      <x:c r="H14" s="20" t="n">
        <x:f>'species'!$E$14</x:f>
        <x:v>4.754487</x:v>
      </x:c>
      <x:c r="I14" s="23" t="n">
        <x:v>0.005</x:v>
      </x:c>
      <x:c r="J14" s="17" t="str">
        <x:v>pH = pKa do ácido acético</x:v>
      </x:c>
      <x:c r="K14" s="22" t="b">
        <x:v>1</x:v>
      </x:c>
      <x:c r="L14" s="17" t="str"/>
    </x:row>
    <x:row r="15">
      <x:c r="A15" s="17" t="str">
        <x:v>T014</x:v>
      </x:c>
      <x:c r="B15" s="17" t="str">
        <x:v>P2</x:v>
      </x:c>
      <x:c r="C15" s="17" t="str">
        <x:v>explicit</x:v>
      </x:c>
      <x:c r="D15" s="17" t="str">
        <x:v>scale_separation</x:v>
      </x:c>
      <x:c r="E15" s="17" t="str">
        <x:v>Traço de HF em HCl 1 M</x:v>
      </x:c>
      <x:c r="F15" s="17" t="str">
        <x:v>Validar estabilidade com escalas separadas por 14 ordens.</x:v>
      </x:c>
      <x:c r="G15" s="17" t="str">
        <x:v>converged_and_balances</x:v>
      </x:c>
      <x:c r="H15" s="20" t="n">
        <x:v>1</x:v>
      </x:c>
      <x:c r="I15" s="23" t="n">
        <x:v>0</x:v>
      </x:c>
      <x:c r="J15" s="17" t="str">
        <x:v>Convergência e resíduos dentro dos limites</x:v>
      </x:c>
      <x:c r="K15" s="22" t="b">
        <x:v>1</x:v>
      </x:c>
      <x:c r="L15" s="17" t="str"/>
    </x:row>
    <x:row r="16">
      <x:c r="A16" s="17" t="str">
        <x:v>T015</x:v>
      </x:c>
      <x:c r="B16" s="17" t="str">
        <x:v>P2</x:v>
      </x:c>
      <x:c r="C16" s="17" t="str">
        <x:v>explicit</x:v>
      </x:c>
      <x:c r="D16" s="17" t="str">
        <x:v>zero_input</x:v>
      </x:c>
      <x:c r="E16" s="17" t="str">
        <x:v>Concentração zero</x:v>
      </x:c>
      <x:c r="F16" s="17" t="str">
        <x:v>Validar equivalência com ausência de adição.</x:v>
      </x:c>
      <x:c r="G16" s="17" t="str">
        <x:v>pH</x:v>
      </x:c>
      <x:c r="H16" s="20" t="n">
        <x:v>7</x:v>
      </x:c>
      <x:c r="I16" s="23" t="n">
        <x:v>1e-10</x:v>
      </x:c>
      <x:c r="J16" s="17" t="str">
        <x:v>Entrada zero não altera a solução</x:v>
      </x:c>
      <x:c r="K16" s="22" t="b">
        <x:v>1</x:v>
      </x:c>
      <x:c r="L16" s="17" t="str"/>
    </x:row>
    <x:row r="17">
      <x:c r="A17" s="17" t="str">
        <x:v>T016</x:v>
      </x:c>
      <x:c r="B17" s="17" t="str">
        <x:v>P2</x:v>
      </x:c>
      <x:c r="C17" s="17" t="str">
        <x:v>explicit</x:v>
      </x:c>
      <x:c r="D17" s="17" t="str">
        <x:v>spectator_background</x:v>
      </x:c>
      <x:c r="E17" s="17" t="str">
        <x:v>NaCl 1 M no modelo ideal</x:v>
      </x:c>
      <x:c r="F17" s="17" t="str">
        <x:v>Validar neutralidade com fundo eletrolítico ideal.</x:v>
      </x:c>
      <x:c r="G17" s="17" t="str">
        <x:v>pH</x:v>
      </x:c>
      <x:c r="H17" s="20" t="n">
        <x:v>7</x:v>
      </x:c>
      <x:c r="I17" s="23" t="n">
        <x:v>1e-10</x:v>
      </x:c>
      <x:c r="J17" s="17" t="str">
        <x:v>Íons espectadores equimolares</x:v>
      </x:c>
      <x:c r="K17" s="22" t="b">
        <x:v>1</x:v>
      </x:c>
      <x:c r="L17" s="17" t="str">
        <x:v>Não avalia atividade; esse resultado é específico do modelo ideal.</x:v>
      </x:c>
    </x:row>
    <x:row r="18">
      <x:c r="A18" s="17" t="str">
        <x:v>T017</x:v>
      </x:c>
      <x:c r="B18" s="17" t="str">
        <x:v>P2</x:v>
      </x:c>
      <x:c r="C18" s="17" t="str">
        <x:v>explicit</x:v>
      </x:c>
      <x:c r="D18" s="17" t="str">
        <x:v>mixed_polyprotic</x:v>
      </x:c>
      <x:c r="E18" s="17" t="str">
        <x:v>Mistura carbonato/fosfato/citrato</x:v>
      </x:c>
      <x:c r="F18" s="17" t="str">
        <x:v>Validar balanços simultâneos de três famílias.</x:v>
      </x:c>
      <x:c r="G18" s="17" t="str">
        <x:v>max_balance_residual</x:v>
      </x:c>
      <x:c r="H18" s="20" t="n">
        <x:v>0</x:v>
      </x:c>
      <x:c r="I18" s="23" t="n">
        <x:v>1e-9</x:v>
      </x:c>
      <x:c r="J18" s="17" t="str">
        <x:v>Resíduos de massa, carga e Kw</x:v>
      </x:c>
      <x:c r="K18" s="22" t="b">
        <x:v>1</x:v>
      </x:c>
      <x:c r="L18" s="17" t="str"/>
    </x:row>
    <x:row r="19">
      <x:c r="A19" s="17" t="str">
        <x:v>T018</x:v>
      </x:c>
      <x:c r="B19" s="17" t="str">
        <x:v>P2</x:v>
      </x:c>
      <x:c r="C19" s="17" t="str">
        <x:v>generated_pairwise</x:v>
      </x:c>
      <x:c r="D19" s="17" t="str">
        <x:v>exhaustive</x:v>
      </x:c>
      <x:c r="E19" s="17" t="str">
        <x:v>Pares de todos os materiais</x:v>
      </x:c>
      <x:c r="F19" s="17" t="str">
        <x:v>Detectar falhas numéricas entre materiais e escalas.</x:v>
      </x:c>
      <x:c r="G19" s="17" t="str">
        <x:v>all_cases_converge</x:v>
      </x:c>
      <x:c r="H19" s="20" t="n">
        <x:v>1</x:v>
      </x:c>
      <x:c r="I19" s="23" t="n">
        <x:v>0</x:v>
      </x:c>
      <x:c r="J19" s="17" t="str">
        <x:v>Gerar pares em 1e-12/1, 1/1e-12 e 1e-4/1</x:v>
      </x:c>
      <x:c r="K19" s="22" t="b">
        <x:v>1</x:v>
      </x:c>
      <x:c r="L19" s="17" t="str">
        <x:v>Sem linhas explícitas em test_inputs.</x:v>
      </x:c>
    </x:row>
  </x:sheetData>
  <x:dataValidations count="2">
    <x:dataValidation type="list" sqref="B2:B19">
      <x:formula1>"P0,P1,P2"</x:formula1>
    </x:dataValidation>
    <x:dataValidation type="list" sqref="K2:K1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268154419d4b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0" hidden="0" customWidth="1"/>
    <x:col min="5" max="5" width="22" hidden="0" customWidth="1"/>
    <x:col min="6" max="6" width="58" hidden="0" customWidth="1"/>
  </x:cols>
  <x:sheetData>
    <x:row r="1">
      <x:c r="A1" s="17" t="str">
        <x:v>test_id</x:v>
      </x:c>
      <x:c r="B1" s="17" t="str">
        <x:v>input_order</x:v>
      </x:c>
      <x:c r="C1" s="17" t="str">
        <x:v>material_id</x:v>
      </x:c>
      <x:c r="D1" s="17" t="str">
        <x:v>analytical_concentration_mol_l</x:v>
      </x:c>
      <x:c r="E1" s="17" t="str">
        <x:v>role</x:v>
      </x:c>
      <x:c r="F1" s="17" t="str">
        <x:v>notes</x:v>
      </x:c>
    </x:row>
    <x:row r="2">
      <x:c r="A2" s="17" t="str">
        <x:v>T002</x:v>
      </x:c>
      <x:c r="B2" s="24" t="n">
        <x:v>1</x:v>
      </x:c>
      <x:c r="C2" s="17" t="str">
        <x:v>M002</x:v>
      </x:c>
      <x:c r="D2" s="23" t="n">
        <x:v>0.1</x:v>
      </x:c>
      <x:c r="E2" s="17" t="str">
        <x:v>acid</x:v>
      </x:c>
      <x:c r="F2" s="17" t="str">
        <x:v>HCl</x:v>
      </x:c>
    </x:row>
    <x:row r="3">
      <x:c r="A3" s="17" t="str">
        <x:v>T003</x:v>
      </x:c>
      <x:c r="B3" s="24" t="n">
        <x:v>1</x:v>
      </x:c>
      <x:c r="C3" s="17" t="str">
        <x:v>M010</x:v>
      </x:c>
      <x:c r="D3" s="23" t="n">
        <x:v>0.1</x:v>
      </x:c>
      <x:c r="E3" s="17" t="str">
        <x:v>base</x:v>
      </x:c>
      <x:c r="F3" s="17" t="str">
        <x:v>NaOH</x:v>
      </x:c>
    </x:row>
    <x:row r="4">
      <x:c r="A4" s="17" t="str">
        <x:v>T004</x:v>
      </x:c>
      <x:c r="B4" s="24" t="n">
        <x:v>1</x:v>
      </x:c>
      <x:c r="C4" s="17" t="str">
        <x:v>M002</x:v>
      </x:c>
      <x:c r="D4" s="23" t="n">
        <x:v>0.1</x:v>
      </x:c>
      <x:c r="E4" s="17" t="str">
        <x:v>acid</x:v>
      </x:c>
      <x:c r="F4" s="17" t="str">
        <x:v>HCl</x:v>
      </x:c>
    </x:row>
    <x:row r="5">
      <x:c r="A5" s="17" t="str">
        <x:v>T004</x:v>
      </x:c>
      <x:c r="B5" s="24" t="n">
        <x:v>2</x:v>
      </x:c>
      <x:c r="C5" s="17" t="str">
        <x:v>M010</x:v>
      </x:c>
      <x:c r="D5" s="23" t="n">
        <x:v>0.1</x:v>
      </x:c>
      <x:c r="E5" s="17" t="str">
        <x:v>base</x:v>
      </x:c>
      <x:c r="F5" s="17" t="str">
        <x:v>NaOH</x:v>
      </x:c>
    </x:row>
    <x:row r="6">
      <x:c r="A6" s="17" t="str">
        <x:v>T005</x:v>
      </x:c>
      <x:c r="B6" s="24" t="n">
        <x:v>1</x:v>
      </x:c>
      <x:c r="C6" s="17" t="str">
        <x:v>M009</x:v>
      </x:c>
      <x:c r="D6" s="23" t="n">
        <x:v>0.01</x:v>
      </x:c>
      <x:c r="E6" s="17" t="str">
        <x:v>weak_acid</x:v>
      </x:c>
      <x:c r="F6" s="17" t="str">
        <x:v>CH3COOH</x:v>
      </x:c>
    </x:row>
    <x:row r="7">
      <x:c r="A7" s="17" t="str">
        <x:v>T005</x:v>
      </x:c>
      <x:c r="B7" s="24" t="n">
        <x:v>2</x:v>
      </x:c>
      <x:c r="C7" s="17" t="str">
        <x:v>M010</x:v>
      </x:c>
      <x:c r="D7" s="23" t="n">
        <x:v>0.005</x:v>
      </x:c>
      <x:c r="E7" s="17" t="str">
        <x:v>neutralizer</x:v>
      </x:c>
      <x:c r="F7" s="17" t="str">
        <x:v>Metade da concentração analítica do ácido.</x:v>
      </x:c>
    </x:row>
    <x:row r="8">
      <x:c r="A8" s="17" t="str">
        <x:v>T006</x:v>
      </x:c>
      <x:c r="B8" s="24" t="n">
        <x:v>1</x:v>
      </x:c>
      <x:c r="C8" s="17" t="str">
        <x:v>M008</x:v>
      </x:c>
      <x:c r="D8" s="23" t="n">
        <x:v>0.01</x:v>
      </x:c>
      <x:c r="E8" s="17" t="str">
        <x:v>weak_base</x:v>
      </x:c>
      <x:c r="F8" s="17" t="str">
        <x:v>NH3</x:v>
      </x:c>
    </x:row>
    <x:row r="9">
      <x:c r="A9" s="17" t="str">
        <x:v>T006</x:v>
      </x:c>
      <x:c r="B9" s="24" t="n">
        <x:v>2</x:v>
      </x:c>
      <x:c r="C9" s="17" t="str">
        <x:v>M013</x:v>
      </x:c>
      <x:c r="D9" s="23" t="n">
        <x:v>0.01</x:v>
      </x:c>
      <x:c r="E9" s="17" t="str">
        <x:v>conjugate_salt</x:v>
      </x:c>
      <x:c r="F9" s="17" t="str">
        <x:v>NH4Cl</x:v>
      </x:c>
    </x:row>
    <x:row r="10">
      <x:c r="A10" s="17" t="str">
        <x:v>T007</x:v>
      </x:c>
      <x:c r="B10" s="24" t="n">
        <x:v>1</x:v>
      </x:c>
      <x:c r="C10" s="17" t="str">
        <x:v>M014</x:v>
      </x:c>
      <x:c r="D10" s="23" t="n">
        <x:v>0.01</x:v>
      </x:c>
      <x:c r="E10" s="17" t="str">
        <x:v>weak_acid</x:v>
      </x:c>
      <x:c r="F10" s="17" t="str">
        <x:v>H2CO3 formal</x:v>
      </x:c>
    </x:row>
    <x:row r="11">
      <x:c r="A11" s="17" t="str">
        <x:v>T007</x:v>
      </x:c>
      <x:c r="B11" s="24" t="n">
        <x:v>2</x:v>
      </x:c>
      <x:c r="C11" s="17" t="str">
        <x:v>M015</x:v>
      </x:c>
      <x:c r="D11" s="23" t="n">
        <x:v>0.01</x:v>
      </x:c>
      <x:c r="E11" s="17" t="str">
        <x:v>conjugate_salt</x:v>
      </x:c>
      <x:c r="F11" s="17" t="str">
        <x:v>NaHCO3</x:v>
      </x:c>
    </x:row>
    <x:row r="12">
      <x:c r="A12" s="17" t="str">
        <x:v>T008</x:v>
      </x:c>
      <x:c r="B12" s="24" t="n">
        <x:v>1</x:v>
      </x:c>
      <x:c r="C12" s="17" t="str">
        <x:v>M015</x:v>
      </x:c>
      <x:c r="D12" s="23" t="n">
        <x:v>0.01</x:v>
      </x:c>
      <x:c r="E12" s="17" t="str">
        <x:v>ampholyte</x:v>
      </x:c>
      <x:c r="F12" s="17" t="str">
        <x:v>NaHCO3</x:v>
      </x:c>
    </x:row>
    <x:row r="13">
      <x:c r="A13" s="17" t="str">
        <x:v>T009</x:v>
      </x:c>
      <x:c r="B13" s="24" t="n">
        <x:v>1</x:v>
      </x:c>
      <x:c r="C13" s="17" t="str">
        <x:v>M017</x:v>
      </x:c>
      <x:c r="D13" s="23" t="n">
        <x:v>1</x:v>
      </x:c>
      <x:c r="E13" s="17" t="str">
        <x:v>weak_acid</x:v>
      </x:c>
      <x:c r="F13" s="17" t="str">
        <x:v>H3PO4; caso de alta capacidade.</x:v>
      </x:c>
    </x:row>
    <x:row r="14">
      <x:c r="A14" s="17" t="str">
        <x:v>T009</x:v>
      </x:c>
      <x:c r="B14" s="24" t="n">
        <x:v>2</x:v>
      </x:c>
      <x:c r="C14" s="17" t="str">
        <x:v>M018</x:v>
      </x:c>
      <x:c r="D14" s="23" t="n">
        <x:v>1</x:v>
      </x:c>
      <x:c r="E14" s="17" t="str">
        <x:v>conjugate_salt</x:v>
      </x:c>
      <x:c r="F14" s="17" t="str">
        <x:v>NaH2PO4; caso de alta capacidade.</x:v>
      </x:c>
    </x:row>
    <x:row r="15">
      <x:c r="A15" s="17" t="str">
        <x:v>T010</x:v>
      </x:c>
      <x:c r="B15" s="24" t="n">
        <x:v>1</x:v>
      </x:c>
      <x:c r="C15" s="17" t="str">
        <x:v>M018</x:v>
      </x:c>
      <x:c r="D15" s="23" t="n">
        <x:v>0.01</x:v>
      </x:c>
      <x:c r="E15" s="17" t="str">
        <x:v>acid_form</x:v>
      </x:c>
      <x:c r="F15" s="17" t="str">
        <x:v>NaH2PO4</x:v>
      </x:c>
    </x:row>
    <x:row r="16">
      <x:c r="A16" s="17" t="str">
        <x:v>T010</x:v>
      </x:c>
      <x:c r="B16" s="24" t="n">
        <x:v>2</x:v>
      </x:c>
      <x:c r="C16" s="17" t="str">
        <x:v>M019</x:v>
      </x:c>
      <x:c r="D16" s="23" t="n">
        <x:v>0.01</x:v>
      </x:c>
      <x:c r="E16" s="17" t="str">
        <x:v>base_form</x:v>
      </x:c>
      <x:c r="F16" s="17" t="str">
        <x:v>Na2HPO4</x:v>
      </x:c>
    </x:row>
    <x:row r="17">
      <x:c r="A17" s="17" t="str">
        <x:v>T011</x:v>
      </x:c>
      <x:c r="B17" s="24" t="n">
        <x:v>1</x:v>
      </x:c>
      <x:c r="C17" s="17" t="str">
        <x:v>M019</x:v>
      </x:c>
      <x:c r="D17" s="23" t="n">
        <x:v>0.1</x:v>
      </x:c>
      <x:c r="E17" s="17" t="str">
        <x:v>ampholyte</x:v>
      </x:c>
      <x:c r="F17" s="17" t="str">
        <x:v>Na2HPO4</x:v>
      </x:c>
    </x:row>
    <x:row r="18">
      <x:c r="A18" s="17" t="str">
        <x:v>T012</x:v>
      </x:c>
      <x:c r="B18" s="24" t="n">
        <x:v>1</x:v>
      </x:c>
      <x:c r="C18" s="17" t="str">
        <x:v>M011</x:v>
      </x:c>
      <x:c r="D18" s="23" t="n">
        <x:v>0.1</x:v>
      </x:c>
      <x:c r="E18" s="17" t="str">
        <x:v>polyprotic_acid</x:v>
      </x:c>
      <x:c r="F18" s="17" t="str">
        <x:v>H3Cit</x:v>
      </x:c>
    </x:row>
    <x:row r="19">
      <x:c r="A19" s="17" t="str">
        <x:v>T012</x:v>
      </x:c>
      <x:c r="B19" s="24" t="n">
        <x:v>2</x:v>
      </x:c>
      <x:c r="C19" s="17" t="str">
        <x:v>M010</x:v>
      </x:c>
      <x:c r="D19" s="23" t="n">
        <x:v>0.05</x:v>
      </x:c>
      <x:c r="E19" s="17" t="str">
        <x:v>neutralizer</x:v>
      </x:c>
      <x:c r="F19" s="17" t="str">
        <x:v>Meia-neutralização do primeiro próton.</x:v>
      </x:c>
    </x:row>
    <x:row r="20">
      <x:c r="A20" s="17" t="str">
        <x:v>T013</x:v>
      </x:c>
      <x:c r="B20" s="24" t="n">
        <x:v>1</x:v>
      </x:c>
      <x:c r="C20" s="17" t="str">
        <x:v>M009</x:v>
      </x:c>
      <x:c r="D20" s="23" t="n">
        <x:v>0.01</x:v>
      </x:c>
      <x:c r="E20" s="17" t="str">
        <x:v>weak_acid</x:v>
      </x:c>
      <x:c r="F20" s="17" t="str">
        <x:v>CH3COOH</x:v>
      </x:c>
    </x:row>
    <x:row r="21">
      <x:c r="A21" s="17" t="str">
        <x:v>T013</x:v>
      </x:c>
      <x:c r="B21" s="24" t="n">
        <x:v>2</x:v>
      </x:c>
      <x:c r="C21" s="17" t="str">
        <x:v>M012</x:v>
      </x:c>
      <x:c r="D21" s="23" t="n">
        <x:v>0.01</x:v>
      </x:c>
      <x:c r="E21" s="17" t="str">
        <x:v>conjugate_salt</x:v>
      </x:c>
      <x:c r="F21" s="17" t="str">
        <x:v>NaCH3COO</x:v>
      </x:c>
    </x:row>
    <x:row r="22">
      <x:c r="A22" s="17" t="str">
        <x:v>T014</x:v>
      </x:c>
      <x:c r="B22" s="24" t="n">
        <x:v>1</x:v>
      </x:c>
      <x:c r="C22" s="17" t="str">
        <x:v>M001</x:v>
      </x:c>
      <x:c r="D22" s="23" t="n">
        <x:v>1e-14</x:v>
      </x:c>
      <x:c r="E22" s="17" t="str">
        <x:v>trace</x:v>
      </x:c>
      <x:c r="F22" s="17" t="str">
        <x:v>HF</x:v>
      </x:c>
    </x:row>
    <x:row r="23">
      <x:c r="A23" s="17" t="str">
        <x:v>T014</x:v>
      </x:c>
      <x:c r="B23" s="24" t="n">
        <x:v>2</x:v>
      </x:c>
      <x:c r="C23" s="17" t="str">
        <x:v>M002</x:v>
      </x:c>
      <x:c r="D23" s="23" t="n">
        <x:v>1</x:v>
      </x:c>
      <x:c r="E23" s="17" t="str">
        <x:v>background</x:v>
      </x:c>
      <x:c r="F23" s="17" t="str">
        <x:v>HCl</x:v>
      </x:c>
    </x:row>
    <x:row r="24">
      <x:c r="A24" s="17" t="str">
        <x:v>T015</x:v>
      </x:c>
      <x:c r="B24" s="24" t="n">
        <x:v>1</x:v>
      </x:c>
      <x:c r="C24" s="17" t="str">
        <x:v>M002</x:v>
      </x:c>
      <x:c r="D24" s="23" t="n">
        <x:v>0</x:v>
      </x:c>
      <x:c r="E24" s="17" t="str">
        <x:v>zero_input</x:v>
      </x:c>
      <x:c r="F24" s="17" t="str">
        <x:v>HCl com concentração nula.</x:v>
      </x:c>
    </x:row>
    <x:row r="25">
      <x:c r="A25" s="17" t="str">
        <x:v>T016</x:v>
      </x:c>
      <x:c r="B25" s="24" t="n">
        <x:v>1</x:v>
      </x:c>
      <x:c r="C25" s="17" t="str">
        <x:v>M007</x:v>
      </x:c>
      <x:c r="D25" s="23" t="n">
        <x:v>1</x:v>
      </x:c>
      <x:c r="E25" s="17" t="str">
        <x:v>background</x:v>
      </x:c>
      <x:c r="F25" s="17" t="str">
        <x:v>NaCl</x:v>
      </x:c>
    </x:row>
    <x:row r="26">
      <x:c r="A26" s="17" t="str">
        <x:v>T017</x:v>
      </x:c>
      <x:c r="B26" s="24" t="n">
        <x:v>1</x:v>
      </x:c>
      <x:c r="C26" s="17" t="str">
        <x:v>M011</x:v>
      </x:c>
      <x:c r="D26" s="23" t="n">
        <x:v>0.001</x:v>
      </x:c>
      <x:c r="E26" s="17" t="str">
        <x:v>polyprotic</x:v>
      </x:c>
      <x:c r="F26" s="17" t="str">
        <x:v>H3Cit</x:v>
      </x:c>
    </x:row>
    <x:row r="27">
      <x:c r="A27" s="17" t="str">
        <x:v>T017</x:v>
      </x:c>
      <x:c r="B27" s="24" t="n">
        <x:v>2</x:v>
      </x:c>
      <x:c r="C27" s="17" t="str">
        <x:v>M017</x:v>
      </x:c>
      <x:c r="D27" s="23" t="n">
        <x:v>0.0001</x:v>
      </x:c>
      <x:c r="E27" s="17" t="str">
        <x:v>polyprotic</x:v>
      </x:c>
      <x:c r="F27" s="17" t="str">
        <x:v>H3PO4</x:v>
      </x:c>
    </x:row>
    <x:row r="28">
      <x:c r="A28" s="17" t="str">
        <x:v>T017</x:v>
      </x:c>
      <x:c r="B28" s="24" t="n">
        <x:v>3</x:v>
      </x:c>
      <x:c r="C28" s="17" t="str">
        <x:v>M015</x:v>
      </x:c>
      <x:c r="D28" s="23" t="n">
        <x:v>0.01</x:v>
      </x:c>
      <x:c r="E28" s="17" t="str">
        <x:v>ampholyte</x:v>
      </x:c>
      <x:c r="F28" s="17" t="str">
        <x:v>NaHCO3</x:v>
      </x:c>
    </x:row>
  </x:sheetData>
  <x:pageMargins left="0.7" right="0.7" top="0.75" bottom="0.75" header="0.3" footer="0.3"/>
  <x:tableParts count="1">
    <x:tablePart xmlns:r="http://schemas.openxmlformats.org/officeDocument/2006/relationships" r:id="Rfd7e9b0ef7ab4f3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</x:cols>
  <x:sheetData>
    <x:row r="1">
      <x:c r="A1" s="1" t="str">
        <x:v>material_id</x:v>
      </x:c>
      <x:c r="B1" s="1" t="str">
        <x:v>species_id</x:v>
      </x:c>
      <x:c r="C1" s="1" t="str">
        <x:v>coefficient</x:v>
      </x:c>
    </x:row>
    <x:row r="2">
      <x:c r="A2" s="1" t="str">
        <x:v>M001</x:v>
      </x:c>
      <x:c r="B2" s="1" t="str">
        <x:v>S001</x:v>
      </x:c>
      <x:c r="C2" s="36" t="n">
        <x:v>1</x:v>
      </x:c>
    </x:row>
    <x:row r="3">
      <x:c r="A3" s="1" t="str">
        <x:v>M001</x:v>
      </x:c>
      <x:c r="B3" s="1" t="str">
        <x:v>S003</x:v>
      </x:c>
      <x:c r="C3" s="36" t="n">
        <x:v>1</x:v>
      </x:c>
    </x:row>
    <x:row r="4">
      <x:c r="A4" s="1" t="str">
        <x:v>M002</x:v>
      </x:c>
      <x:c r="B4" s="1" t="str">
        <x:v>S001</x:v>
      </x:c>
      <x:c r="C4" s="36" t="n">
        <x:v>1</x:v>
      </x:c>
    </x:row>
    <x:row r="5">
      <x:c r="A5" s="1" t="str">
        <x:v>M002</x:v>
      </x:c>
      <x:c r="B5" s="1" t="str">
        <x:v>S005</x:v>
      </x:c>
      <x:c r="C5" s="36" t="n">
        <x:v>1</x:v>
      </x:c>
    </x:row>
    <x:row r="6">
      <x:c r="A6" s="1" t="str">
        <x:v>M003</x:v>
      </x:c>
      <x:c r="B6" s="1" t="str">
        <x:v>S007</x:v>
      </x:c>
      <x:c r="C6" s="36" t="n">
        <x:v>1</x:v>
      </x:c>
    </x:row>
    <x:row r="7">
      <x:c r="A7" s="1" t="str">
        <x:v>M003</x:v>
      </x:c>
      <x:c r="B7" s="1" t="str">
        <x:v>S008</x:v>
      </x:c>
      <x:c r="C7" s="36" t="n">
        <x:v>1</x:v>
      </x:c>
    </x:row>
    <x:row r="8">
      <x:c r="A8" s="1" t="str">
        <x:v>M004</x:v>
      </x:c>
      <x:c r="B8" s="1" t="str">
        <x:v>S009</x:v>
      </x:c>
      <x:c r="C8" s="36" t="n">
        <x:v>1</x:v>
      </x:c>
    </x:row>
    <x:row r="9">
      <x:c r="A9" s="1" t="str">
        <x:v>M004</x:v>
      </x:c>
      <x:c r="B9" s="1" t="str">
        <x:v>S011</x:v>
      </x:c>
      <x:c r="C9" s="36" t="n">
        <x:v>1</x:v>
      </x:c>
    </x:row>
    <x:row r="10">
      <x:c r="A10" s="1" t="str">
        <x:v>M005</x:v>
      </x:c>
      <x:c r="B10" s="1" t="str">
        <x:v>S011</x:v>
      </x:c>
      <x:c r="C10" s="36" t="n">
        <x:v>1</x:v>
      </x:c>
    </x:row>
    <x:row r="11">
      <x:c r="A11" s="1" t="str">
        <x:v>M006</x:v>
      </x:c>
      <x:c r="B11" s="1" t="str">
        <x:v>S007</x:v>
      </x:c>
      <x:c r="C11" s="36" t="n">
        <x:v>1</x:v>
      </x:c>
    </x:row>
    <x:row r="12">
      <x:c r="A12" s="1" t="str">
        <x:v>M007</x:v>
      </x:c>
      <x:c r="B12" s="1" t="str">
        <x:v>S009</x:v>
      </x:c>
      <x:c r="C12" s="36" t="n">
        <x:v>1</x:v>
      </x:c>
    </x:row>
    <x:row r="13">
      <x:c r="A13" s="1" t="str">
        <x:v>M007</x:v>
      </x:c>
      <x:c r="B13" s="1" t="str">
        <x:v>S005</x:v>
      </x:c>
      <x:c r="C13" s="36" t="n">
        <x:v>1</x:v>
      </x:c>
    </x:row>
    <x:row r="14">
      <x:c r="A14" s="1" t="str">
        <x:v>M008</x:v>
      </x:c>
      <x:c r="B14" s="1" t="str">
        <x:v>S007</x:v>
      </x:c>
      <x:c r="C14" s="36" t="n">
        <x:v>1</x:v>
      </x:c>
    </x:row>
    <x:row r="15">
      <x:c r="A15" s="1" t="str">
        <x:v>M008</x:v>
      </x:c>
      <x:c r="B15" s="1" t="str">
        <x:v>S002</x:v>
      </x:c>
      <x:c r="C15" s="36" t="n">
        <x:v>1</x:v>
      </x:c>
    </x:row>
    <x:row r="16">
      <x:c r="A16" s="1" t="str">
        <x:v>M009</x:v>
      </x:c>
      <x:c r="B16" s="1" t="str">
        <x:v>S001</x:v>
      </x:c>
      <x:c r="C16" s="36" t="n">
        <x:v>1</x:v>
      </x:c>
    </x:row>
    <x:row r="17">
      <x:c r="A17" s="1" t="str">
        <x:v>M009</x:v>
      </x:c>
      <x:c r="B17" s="1" t="str">
        <x:v>S012</x:v>
      </x:c>
      <x:c r="C17" s="36" t="n">
        <x:v>1</x:v>
      </x:c>
    </x:row>
    <x:row r="18">
      <x:c r="A18" s="1" t="str">
        <x:v>M010</x:v>
      </x:c>
      <x:c r="B18" s="1" t="str">
        <x:v>S009</x:v>
      </x:c>
      <x:c r="C18" s="36" t="n">
        <x:v>1</x:v>
      </x:c>
    </x:row>
    <x:row r="19">
      <x:c r="A19" s="1" t="str">
        <x:v>M010</x:v>
      </x:c>
      <x:c r="B19" s="1" t="str">
        <x:v>S002</x:v>
      </x:c>
      <x:c r="C19" s="36" t="n">
        <x:v>1</x:v>
      </x:c>
    </x:row>
    <x:row r="20">
      <x:c r="A20" s="1" t="str">
        <x:v>M011</x:v>
      </x:c>
      <x:c r="B20" s="1" t="str">
        <x:v>S001</x:v>
      </x:c>
      <x:c r="C20" s="36" t="n">
        <x:v>3</x:v>
      </x:c>
    </x:row>
    <x:row r="21">
      <x:c r="A21" s="1" t="str">
        <x:v>M011</x:v>
      </x:c>
      <x:c r="B21" s="1" t="str">
        <x:v>S014</x:v>
      </x:c>
      <x:c r="C21" s="36" t="n">
        <x:v>1</x:v>
      </x:c>
    </x:row>
    <x:row r="22">
      <x:c r="A22" s="1" t="str">
        <x:v>M012</x:v>
      </x:c>
      <x:c r="B22" s="1" t="str">
        <x:v>S009</x:v>
      </x:c>
      <x:c r="C22" s="36" t="n">
        <x:v>1</x:v>
      </x:c>
    </x:row>
    <x:row r="23">
      <x:c r="A23" s="1" t="str">
        <x:v>M012</x:v>
      </x:c>
      <x:c r="B23" s="1" t="str">
        <x:v>S012</x:v>
      </x:c>
      <x:c r="C23" s="36" t="n">
        <x:v>1</x:v>
      </x:c>
    </x:row>
    <x:row r="24">
      <x:c r="A24" s="1" t="str">
        <x:v>M013</x:v>
      </x:c>
      <x:c r="B24" s="1" t="str">
        <x:v>S007</x:v>
      </x:c>
      <x:c r="C24" s="36" t="n">
        <x:v>1</x:v>
      </x:c>
    </x:row>
    <x:row r="25">
      <x:c r="A25" s="1" t="str">
        <x:v>M013</x:v>
      </x:c>
      <x:c r="B25" s="1" t="str">
        <x:v>S005</x:v>
      </x:c>
      <x:c r="C25" s="36" t="n">
        <x:v>1</x:v>
      </x:c>
    </x:row>
    <x:row r="26">
      <x:c r="A26" s="1" t="str">
        <x:v>M014</x:v>
      </x:c>
      <x:c r="B26" s="1" t="str">
        <x:v>S001</x:v>
      </x:c>
      <x:c r="C26" s="36" t="n">
        <x:v>2</x:v>
      </x:c>
    </x:row>
    <x:row r="27">
      <x:c r="A27" s="1" t="str">
        <x:v>M014</x:v>
      </x:c>
      <x:c r="B27" s="1" t="str">
        <x:v>S018</x:v>
      </x:c>
      <x:c r="C27" s="36" t="n">
        <x:v>1</x:v>
      </x:c>
    </x:row>
    <x:row r="28">
      <x:c r="A28" s="1" t="str">
        <x:v>M015</x:v>
      </x:c>
      <x:c r="B28" s="1" t="str">
        <x:v>S009</x:v>
      </x:c>
      <x:c r="C28" s="36" t="n">
        <x:v>1</x:v>
      </x:c>
    </x:row>
    <x:row r="29">
      <x:c r="A29" s="1" t="str">
        <x:v>M015</x:v>
      </x:c>
      <x:c r="B29" s="1" t="str">
        <x:v>S019</x:v>
      </x:c>
      <x:c r="C29" s="36" t="n">
        <x:v>1</x:v>
      </x:c>
    </x:row>
    <x:row r="30">
      <x:c r="A30" s="1" t="str">
        <x:v>M016</x:v>
      </x:c>
      <x:c r="B30" s="1" t="str">
        <x:v>S009</x:v>
      </x:c>
      <x:c r="C30" s="36" t="n">
        <x:v>2</x:v>
      </x:c>
    </x:row>
    <x:row r="31">
      <x:c r="A31" s="1" t="str">
        <x:v>M016</x:v>
      </x:c>
      <x:c r="B31" s="1" t="str">
        <x:v>S018</x:v>
      </x:c>
      <x:c r="C31" s="36" t="n">
        <x:v>1</x:v>
      </x:c>
    </x:row>
    <x:row r="32">
      <x:c r="A32" s="1" t="str">
        <x:v>M017</x:v>
      </x:c>
      <x:c r="B32" s="1" t="str">
        <x:v>S001</x:v>
      </x:c>
      <x:c r="C32" s="36" t="n">
        <x:v>3</x:v>
      </x:c>
    </x:row>
    <x:row r="33">
      <x:c r="A33" s="1" t="str">
        <x:v>M017</x:v>
      </x:c>
      <x:c r="B33" s="1" t="str">
        <x:v>S021</x:v>
      </x:c>
      <x:c r="C33" s="36" t="n">
        <x:v>1</x:v>
      </x:c>
    </x:row>
    <x:row r="34">
      <x:c r="A34" s="1" t="str">
        <x:v>M018</x:v>
      </x:c>
      <x:c r="B34" s="1" t="str">
        <x:v>S009</x:v>
      </x:c>
      <x:c r="C34" s="36" t="n">
        <x:v>1</x:v>
      </x:c>
    </x:row>
    <x:row r="35">
      <x:c r="A35" s="1" t="str">
        <x:v>M018</x:v>
      </x:c>
      <x:c r="B35" s="1" t="str">
        <x:v>S023</x:v>
      </x:c>
      <x:c r="C35" s="36" t="n">
        <x:v>1</x:v>
      </x:c>
    </x:row>
    <x:row r="36">
      <x:c r="A36" s="1" t="str">
        <x:v>M019</x:v>
      </x:c>
      <x:c r="B36" s="1" t="str">
        <x:v>S009</x:v>
      </x:c>
      <x:c r="C36" s="36" t="n">
        <x:v>2</x:v>
      </x:c>
    </x:row>
    <x:row r="37">
      <x:c r="A37" s="1" t="str">
        <x:v>M019</x:v>
      </x:c>
      <x:c r="B37" s="1" t="str">
        <x:v>S022</x:v>
      </x:c>
      <x:c r="C37" s="36" t="n">
        <x:v>1</x:v>
      </x:c>
    </x:row>
    <x:row r="38">
      <x:c r="A38" s="1" t="str">
        <x:v>M020</x:v>
      </x:c>
      <x:c r="B38" s="1" t="str">
        <x:v>S009</x:v>
      </x:c>
      <x:c r="C38" s="36" t="n">
        <x:v>3</x:v>
      </x:c>
    </x:row>
    <x:row r="39">
      <x:c r="A39" s="1" t="str">
        <x:v>M020</x:v>
      </x:c>
      <x:c r="B39" s="1" t="str">
        <x:v>S021</x:v>
      </x:c>
      <x:c r="C39" s="36" t="n">
        <x:v>1</x:v>
      </x:c>
    </x:row>
    <x:row r="40">
      <x:c r="A40" s="1" t="str">
        <x:v>M021</x:v>
      </x:c>
      <x:c r="B40" s="1" t="str">
        <x:v>S009</x:v>
      </x:c>
      <x:c r="C40" s="36" t="n">
        <x:v>3</x:v>
      </x:c>
    </x:row>
    <x:row r="41">
      <x:c r="A41" s="1" t="str">
        <x:v>M021</x:v>
      </x:c>
      <x:c r="B41" s="1" t="str">
        <x:v>S014</x:v>
      </x:c>
      <x:c r="C41" s="36" t="n">
        <x:v>1</x:v>
      </x:c>
    </x:row>
    <x:row r="42">
      <x:c r="A42" s="1" t="str">
        <x:v>M022</x:v>
      </x:c>
      <x:c r="B42" s="1" t="str">
        <x:v>S001</x:v>
      </x:c>
      <x:c r="C42" s="36" t="n">
        <x:v>1</x:v>
      </x:c>
    </x:row>
    <x:row r="43">
      <x:c r="A43" s="1" t="str">
        <x:v>M022</x:v>
      </x:c>
      <x:c r="B43" s="1" t="str">
        <x:v>S025</x:v>
      </x:c>
      <x:c r="C43" s="3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7f09e195da04df8"/>
  </x:tableParts>
</x:worksheet>
</file>